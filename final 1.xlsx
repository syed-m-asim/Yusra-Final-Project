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Information" sheetId="1" r:id="rId5"/>
    <sheet state="visible" name=" Customer Information" sheetId="2" r:id="rId6"/>
    <sheet state="visible" name=" Account Information" sheetId="3" r:id="rId7"/>
    <sheet state="visible" name="Deposite Transaction" sheetId="4" r:id="rId8"/>
    <sheet state="visible" name="Fixed Deposit" sheetId="5" r:id="rId9"/>
    <sheet state="visible" name="Loan Management System" sheetId="6" r:id="rId10"/>
    <sheet state="visible" name="Employee Payroll Management" sheetId="7" r:id="rId11"/>
    <sheet state="visible" name="Branch Performance Dashboard" sheetId="8" r:id="rId12"/>
  </sheets>
  <definedNames/>
  <calcPr/>
</workbook>
</file>

<file path=xl/sharedStrings.xml><?xml version="1.0" encoding="utf-8"?>
<sst xmlns="http://schemas.openxmlformats.org/spreadsheetml/2006/main" count="1526" uniqueCount="968">
  <si>
    <t>Branch ID</t>
  </si>
  <si>
    <t>Branch Name</t>
  </si>
  <si>
    <t>City</t>
  </si>
  <si>
    <t>Manager Name</t>
  </si>
  <si>
    <t>Contact Number</t>
  </si>
  <si>
    <t>Central Branch</t>
  </si>
  <si>
    <t>Karachi</t>
  </si>
  <si>
    <t>Ahmed Khan</t>
  </si>
  <si>
    <t>Gulshan Branch</t>
  </si>
  <si>
    <t>Ali Raza</t>
  </si>
  <si>
    <t>Clifton Branch</t>
  </si>
  <si>
    <t>Hassan Ali</t>
  </si>
  <si>
    <t>Saddar Branch</t>
  </si>
  <si>
    <t>Usman Ahmed</t>
  </si>
  <si>
    <t>North Nazimabad Branch</t>
  </si>
  <si>
    <t>Bilal Khan</t>
  </si>
  <si>
    <t>Johar Branch</t>
  </si>
  <si>
    <t>Fahad Ali</t>
  </si>
  <si>
    <t>DHA Branch</t>
  </si>
  <si>
    <t>Imran Shah</t>
  </si>
  <si>
    <t>PECHS Branch</t>
  </si>
  <si>
    <t>Salman Ahmed</t>
  </si>
  <si>
    <t>Malir Branch</t>
  </si>
  <si>
    <t>Noman Ali</t>
  </si>
  <si>
    <t>Korangi Branch</t>
  </si>
  <si>
    <t>Danish Khan</t>
  </si>
  <si>
    <t>Cantt Branch</t>
  </si>
  <si>
    <t>Lahore</t>
  </si>
  <si>
    <t>Awais Ahmed</t>
  </si>
  <si>
    <t>Model Town Branch</t>
  </si>
  <si>
    <t>Hamza Khan</t>
  </si>
  <si>
    <t>Gulberg Branch</t>
  </si>
  <si>
    <t>Zain Ali</t>
  </si>
  <si>
    <t>Johar Town Branch</t>
  </si>
  <si>
    <t>Umar Farooq</t>
  </si>
  <si>
    <t>DHA Lahore Branch</t>
  </si>
  <si>
    <t>Rizwan Ahmed</t>
  </si>
  <si>
    <t>Iqbal Town Branch</t>
  </si>
  <si>
    <t>Saad Khan</t>
  </si>
  <si>
    <t>Wapda Town Branch</t>
  </si>
  <si>
    <t>Talha Ali</t>
  </si>
  <si>
    <t>Faisal Town Branch</t>
  </si>
  <si>
    <t>Yasir Ahmed</t>
  </si>
  <si>
    <t>Bahria Town Branch</t>
  </si>
  <si>
    <t>Shahzaib Khan</t>
  </si>
  <si>
    <t>Garden Town Branch</t>
  </si>
  <si>
    <t>Adnan Ali</t>
  </si>
  <si>
    <t>Blue Area Branch</t>
  </si>
  <si>
    <t>Islamabad</t>
  </si>
  <si>
    <t>Farhan Ahmed</t>
  </si>
  <si>
    <t>F-10 Branch</t>
  </si>
  <si>
    <t>Kashif Khan</t>
  </si>
  <si>
    <t>G-11 Branch</t>
  </si>
  <si>
    <t>Asad Ali</t>
  </si>
  <si>
    <t>I-8 Branch</t>
  </si>
  <si>
    <t>Haris Ahmed</t>
  </si>
  <si>
    <t>Bahria Branch</t>
  </si>
  <si>
    <t>Junaid Khan</t>
  </si>
  <si>
    <t>Satellite Town Branch</t>
  </si>
  <si>
    <t>Rawalpindi</t>
  </si>
  <si>
    <t>Naveed Ahmed</t>
  </si>
  <si>
    <t>Waqar Ali</t>
  </si>
  <si>
    <t>Chaklala Branch</t>
  </si>
  <si>
    <t>Sohail Khan</t>
  </si>
  <si>
    <t>Commercial Market Branch</t>
  </si>
  <si>
    <t>Taimoor Ahmed</t>
  </si>
  <si>
    <t>Peshawar Road Branch</t>
  </si>
  <si>
    <t>Amir Ali</t>
  </si>
  <si>
    <t>Civil Lines Branch</t>
  </si>
  <si>
    <t>Faisalabad</t>
  </si>
  <si>
    <t>Arslan Khan</t>
  </si>
  <si>
    <t>D Ground Branch</t>
  </si>
  <si>
    <t>Muneeb Ahmed</t>
  </si>
  <si>
    <t>Jinnah Colony Branch</t>
  </si>
  <si>
    <t>Rehan Ali</t>
  </si>
  <si>
    <t>Madina Town Branch</t>
  </si>
  <si>
    <t>Hammad Khan</t>
  </si>
  <si>
    <t>Peoples Colony Branch</t>
  </si>
  <si>
    <t>Sikandar Ahmed</t>
  </si>
  <si>
    <t>Multan</t>
  </si>
  <si>
    <t>Abdullah Khan</t>
  </si>
  <si>
    <t>Gulgasht Branch</t>
  </si>
  <si>
    <t>Zohaib Ahmed</t>
  </si>
  <si>
    <t>Bosan Road Branch</t>
  </si>
  <si>
    <t>Waqas Ali</t>
  </si>
  <si>
    <t>Shah Rukn-e-Alam Branch</t>
  </si>
  <si>
    <t>Huzaifa Khan</t>
  </si>
  <si>
    <t>Vehari Road Branch</t>
  </si>
  <si>
    <t>Sheryar Ahmed</t>
  </si>
  <si>
    <t>University Road Branch</t>
  </si>
  <si>
    <t>Peshawar</t>
  </si>
  <si>
    <t>Fahim Khan</t>
  </si>
  <si>
    <t>Qasim Ahmed</t>
  </si>
  <si>
    <t>Hayatabad Branch</t>
  </si>
  <si>
    <t>Adeel Ali</t>
  </si>
  <si>
    <t>Ring Road Branch</t>
  </si>
  <si>
    <t>Raza Khan</t>
  </si>
  <si>
    <t>GT Road Branch</t>
  </si>
  <si>
    <t>Sami Ahmed</t>
  </si>
  <si>
    <t>Jinnah Road Branch</t>
  </si>
  <si>
    <t>Quetta</t>
  </si>
  <si>
    <t>Tariq Khan</t>
  </si>
  <si>
    <t>Sariab Road Branch</t>
  </si>
  <si>
    <t>Irfan Ahmed</t>
  </si>
  <si>
    <t>Brewery Road Branch</t>
  </si>
  <si>
    <t>Jawad Ali</t>
  </si>
  <si>
    <t>Airport Road Branch</t>
  </si>
  <si>
    <t>Umer Khan</t>
  </si>
  <si>
    <t>Asif Ahmed</t>
  </si>
  <si>
    <t>Customer ID</t>
  </si>
  <si>
    <t>Customer Name</t>
  </si>
  <si>
    <t>CNIC</t>
  </si>
  <si>
    <t>DOB</t>
  </si>
  <si>
    <t>Age</t>
  </si>
  <si>
    <t>Gender</t>
  </si>
  <si>
    <t>Mobile</t>
  </si>
  <si>
    <t>Address</t>
  </si>
  <si>
    <t>42101-1234501-1</t>
  </si>
  <si>
    <t>Male</t>
  </si>
  <si>
    <t>Gulshan, Karachi</t>
  </si>
  <si>
    <t>B001</t>
  </si>
  <si>
    <t>42101-1234502-2</t>
  </si>
  <si>
    <t>Clifton, Karachi</t>
  </si>
  <si>
    <t>B002</t>
  </si>
  <si>
    <t>42101-1234502-3</t>
  </si>
  <si>
    <t>DHA, Karachi</t>
  </si>
  <si>
    <t>B003</t>
  </si>
  <si>
    <t>Bilal Ahmed</t>
  </si>
  <si>
    <t>42101-1234502-4</t>
  </si>
  <si>
    <t>PECHS, Karachi</t>
  </si>
  <si>
    <t>B004</t>
  </si>
  <si>
    <t>Usman Khan</t>
  </si>
  <si>
    <t>42101-1234502-5</t>
  </si>
  <si>
    <t>Malir, Karachi</t>
  </si>
  <si>
    <t>B005</t>
  </si>
  <si>
    <t>42101-1234502-6</t>
  </si>
  <si>
    <t>Korangi, Karachi</t>
  </si>
  <si>
    <t>B006</t>
  </si>
  <si>
    <t>42101-1234502-7</t>
  </si>
  <si>
    <t>Johar, Karachi</t>
  </si>
  <si>
    <t>B007</t>
  </si>
  <si>
    <t>Imran Khan</t>
  </si>
  <si>
    <t>42101-1234502-8</t>
  </si>
  <si>
    <t>Nazimabad, Karachi</t>
  </si>
  <si>
    <t>B008</t>
  </si>
  <si>
    <t>Danish Ali</t>
  </si>
  <si>
    <t>42101-1234502-9</t>
  </si>
  <si>
    <t>Saddar, Karachi</t>
  </si>
  <si>
    <t>B009</t>
  </si>
  <si>
    <t>Noman Ahmed</t>
  </si>
  <si>
    <t>42101-1234502-10</t>
  </si>
  <si>
    <t>Cantt, Karachi</t>
  </si>
  <si>
    <t>B010</t>
  </si>
  <si>
    <t>42101-1234502-11</t>
  </si>
  <si>
    <t>Model Town, Lahore</t>
  </si>
  <si>
    <t>B011</t>
  </si>
  <si>
    <t>Awais Ali</t>
  </si>
  <si>
    <t>42101-1234502-12</t>
  </si>
  <si>
    <t>Gulberg, Lahore</t>
  </si>
  <si>
    <t>B012</t>
  </si>
  <si>
    <t>Zain Ahmed</t>
  </si>
  <si>
    <t>42101-1234502-13</t>
  </si>
  <si>
    <t>Johar Town, Lahore</t>
  </si>
  <si>
    <t>B013</t>
  </si>
  <si>
    <t>42101-1234502-14</t>
  </si>
  <si>
    <t>DHA, Lahore</t>
  </si>
  <si>
    <t>B014</t>
  </si>
  <si>
    <t>Rizwan Khan</t>
  </si>
  <si>
    <t>42101-1234502-15</t>
  </si>
  <si>
    <t>Wapda Town, Lahore</t>
  </si>
  <si>
    <t>B015</t>
  </si>
  <si>
    <t>Saad Ali</t>
  </si>
  <si>
    <t>42101-1234502-16</t>
  </si>
  <si>
    <t>Iqbal Town, Lahore</t>
  </si>
  <si>
    <t>B016</t>
  </si>
  <si>
    <t>Talha Ahmed</t>
  </si>
  <si>
    <t>42101-1234502-17</t>
  </si>
  <si>
    <t>Faisal Town, Lahore</t>
  </si>
  <si>
    <t>B017</t>
  </si>
  <si>
    <t>Yasir Khan</t>
  </si>
  <si>
    <t>42101-1234502-18</t>
  </si>
  <si>
    <t>Bahria Town, Lahore</t>
  </si>
  <si>
    <t>B018</t>
  </si>
  <si>
    <t>Shahzaib Ali</t>
  </si>
  <si>
    <t>42101-1234502-19</t>
  </si>
  <si>
    <t>Garden Town, Lahore</t>
  </si>
  <si>
    <t>B019</t>
  </si>
  <si>
    <t>Adnan Ahmed</t>
  </si>
  <si>
    <t>42101-1234502-20</t>
  </si>
  <si>
    <t>Township, Lahore</t>
  </si>
  <si>
    <t>B020</t>
  </si>
  <si>
    <t>Farhan Khan</t>
  </si>
  <si>
    <t>42101-1234502-21</t>
  </si>
  <si>
    <t>F-6, Islamabad</t>
  </si>
  <si>
    <t>B021</t>
  </si>
  <si>
    <t>Kashif Ali</t>
  </si>
  <si>
    <t>42101-1234502-22</t>
  </si>
  <si>
    <t>F-7, Islamabad</t>
  </si>
  <si>
    <t>B022</t>
  </si>
  <si>
    <t>Asad Ahmed</t>
  </si>
  <si>
    <t>42101-1234502-23</t>
  </si>
  <si>
    <t>F-10, Islamabad</t>
  </si>
  <si>
    <t>B023</t>
  </si>
  <si>
    <t>Haris Khan</t>
  </si>
  <si>
    <t>42101-1234502-24</t>
  </si>
  <si>
    <t>G-11, Islamabad</t>
  </si>
  <si>
    <t>B024</t>
  </si>
  <si>
    <t>Junaid Ali</t>
  </si>
  <si>
    <t>42101-1234502-25</t>
  </si>
  <si>
    <t>I-8, Islamabad</t>
  </si>
  <si>
    <t>B025</t>
  </si>
  <si>
    <t>42101-1234502-26</t>
  </si>
  <si>
    <t>Satellite Town, Rawalpindi</t>
  </si>
  <si>
    <t>B026</t>
  </si>
  <si>
    <t>Waqar Khan</t>
  </si>
  <si>
    <t>42101-1234502-27</t>
  </si>
  <si>
    <t>Saddar, Rawalpindi</t>
  </si>
  <si>
    <t>B027</t>
  </si>
  <si>
    <t>Sohail Ali</t>
  </si>
  <si>
    <t>42101-1234502-28</t>
  </si>
  <si>
    <t>Chaklala, Rawalpindi</t>
  </si>
  <si>
    <t>B028</t>
  </si>
  <si>
    <t>42101-1234502-29</t>
  </si>
  <si>
    <t>Commercial Market, Rawalpindi</t>
  </si>
  <si>
    <t>B029</t>
  </si>
  <si>
    <t>Amir Khan</t>
  </si>
  <si>
    <t>42101-1234502-30</t>
  </si>
  <si>
    <t>Peshawar Road, Rawalpindi</t>
  </si>
  <si>
    <t>B030</t>
  </si>
  <si>
    <t>Arslan Ali</t>
  </si>
  <si>
    <t>42101-1234502-31</t>
  </si>
  <si>
    <t>Civil Lines, Faisalabad</t>
  </si>
  <si>
    <t>B031</t>
  </si>
  <si>
    <t>42101-1234502-32</t>
  </si>
  <si>
    <t>D Ground, Faisalabad</t>
  </si>
  <si>
    <t>B032</t>
  </si>
  <si>
    <t>Rehan Khan</t>
  </si>
  <si>
    <t>42101-1234502-33</t>
  </si>
  <si>
    <t>Jinnah Colony, Faisalabad</t>
  </si>
  <si>
    <t>B033</t>
  </si>
  <si>
    <t>Hammad Ali</t>
  </si>
  <si>
    <t>42101-1234502-34</t>
  </si>
  <si>
    <t>Madina Town, Faisalabad</t>
  </si>
  <si>
    <t>B034</t>
  </si>
  <si>
    <t>42101-1234502-35</t>
  </si>
  <si>
    <t>Peoples Colony, Faisalabad</t>
  </si>
  <si>
    <t>B035</t>
  </si>
  <si>
    <t>42101-1234502-36</t>
  </si>
  <si>
    <t>Cantt, Multan</t>
  </si>
  <si>
    <t>B036</t>
  </si>
  <si>
    <t>Zohaib Ali</t>
  </si>
  <si>
    <t>42101-1234502-37</t>
  </si>
  <si>
    <t>Gulgasht, Multan</t>
  </si>
  <si>
    <t>B037</t>
  </si>
  <si>
    <t>Waqas Ahmed</t>
  </si>
  <si>
    <t>42101-1234502-38</t>
  </si>
  <si>
    <t>Bosan Road, Multan</t>
  </si>
  <si>
    <t>B038</t>
  </si>
  <si>
    <t>42101-1234502-39</t>
  </si>
  <si>
    <t>Shah Rukn-e-Alam, Multan</t>
  </si>
  <si>
    <t>B039</t>
  </si>
  <si>
    <t>Sheryar Ali</t>
  </si>
  <si>
    <t>42101-1234502-40</t>
  </si>
  <si>
    <t>Vehari Road, Multan</t>
  </si>
  <si>
    <t>B040</t>
  </si>
  <si>
    <t>Fahim Ahmed</t>
  </si>
  <si>
    <t>42101-1234502-41</t>
  </si>
  <si>
    <t>University Road, Peshawar</t>
  </si>
  <si>
    <t>B041</t>
  </si>
  <si>
    <t>Qasim Khan</t>
  </si>
  <si>
    <t>42101-1234502-42</t>
  </si>
  <si>
    <t>Saddar, Peshawar</t>
  </si>
  <si>
    <t>B042</t>
  </si>
  <si>
    <t>42101-1234502-43</t>
  </si>
  <si>
    <t>Hayatabad, Peshawar</t>
  </si>
  <si>
    <t>B043</t>
  </si>
  <si>
    <t>Raza Ahmed</t>
  </si>
  <si>
    <t>42101-1234502-44</t>
  </si>
  <si>
    <t>Ring Road, Peshawar</t>
  </si>
  <si>
    <t>B044</t>
  </si>
  <si>
    <t>Sami Khan</t>
  </si>
  <si>
    <t>42101-1234502-45</t>
  </si>
  <si>
    <t>GT Road, Peshawar</t>
  </si>
  <si>
    <t>B045</t>
  </si>
  <si>
    <t>Tariq Ali</t>
  </si>
  <si>
    <t>42101-1234502-46</t>
  </si>
  <si>
    <t>Jinnah Road, Quetta</t>
  </si>
  <si>
    <t>B046</t>
  </si>
  <si>
    <t>42101-1234502-47</t>
  </si>
  <si>
    <t>Sariab Road, Quetta</t>
  </si>
  <si>
    <t>B047</t>
  </si>
  <si>
    <t>Jawad Khan</t>
  </si>
  <si>
    <t>42101-1234502-48</t>
  </si>
  <si>
    <t>Brewery Road, Quetta</t>
  </si>
  <si>
    <t>B048</t>
  </si>
  <si>
    <t>Umer Ali</t>
  </si>
  <si>
    <t>42101-1234502-49</t>
  </si>
  <si>
    <t>Airport Road, Quetta</t>
  </si>
  <si>
    <t>B049</t>
  </si>
  <si>
    <t>42101-1234502-50</t>
  </si>
  <si>
    <t>Satellite Town, Quetta</t>
  </si>
  <si>
    <t>B050</t>
  </si>
  <si>
    <t>Account No</t>
  </si>
  <si>
    <t>Account Type</t>
  </si>
  <si>
    <t>Opening Date</t>
  </si>
  <si>
    <t>Initial Deposit</t>
  </si>
  <si>
    <t>Transfers In</t>
  </si>
  <si>
    <t>Current Balance</t>
  </si>
  <si>
    <t>Account Status</t>
  </si>
  <si>
    <t>ACC001</t>
  </si>
  <si>
    <t>C001</t>
  </si>
  <si>
    <t>ACC002</t>
  </si>
  <si>
    <t>C002</t>
  </si>
  <si>
    <t>ACC003</t>
  </si>
  <si>
    <t>C003</t>
  </si>
  <si>
    <t>ACC004</t>
  </si>
  <si>
    <t>C004</t>
  </si>
  <si>
    <t>ACC005</t>
  </si>
  <si>
    <t>C005</t>
  </si>
  <si>
    <t>ACC006</t>
  </si>
  <si>
    <t>C006</t>
  </si>
  <si>
    <t>ACC007</t>
  </si>
  <si>
    <t>C007</t>
  </si>
  <si>
    <t>ACC008</t>
  </si>
  <si>
    <t>C008</t>
  </si>
  <si>
    <t>ACC009</t>
  </si>
  <si>
    <t>C009</t>
  </si>
  <si>
    <t>ACC010</t>
  </si>
  <si>
    <t>C010</t>
  </si>
  <si>
    <t>ACC011</t>
  </si>
  <si>
    <t>C011</t>
  </si>
  <si>
    <t>ACC012</t>
  </si>
  <si>
    <t>C012</t>
  </si>
  <si>
    <t>ACC013</t>
  </si>
  <si>
    <t>C013</t>
  </si>
  <si>
    <t>ACC014</t>
  </si>
  <si>
    <t>C014</t>
  </si>
  <si>
    <t>ACC015</t>
  </si>
  <si>
    <t>C015</t>
  </si>
  <si>
    <t>ACC016</t>
  </si>
  <si>
    <t>C016</t>
  </si>
  <si>
    <t>ACC017</t>
  </si>
  <si>
    <t>C017</t>
  </si>
  <si>
    <t>ACC018</t>
  </si>
  <si>
    <t>C018</t>
  </si>
  <si>
    <t>ACC019</t>
  </si>
  <si>
    <t>C019</t>
  </si>
  <si>
    <t>ACC020</t>
  </si>
  <si>
    <t>C020</t>
  </si>
  <si>
    <t>ACC021</t>
  </si>
  <si>
    <t>C021</t>
  </si>
  <si>
    <t>ACC022</t>
  </si>
  <si>
    <t>C022</t>
  </si>
  <si>
    <t>ACC023</t>
  </si>
  <si>
    <t>C023</t>
  </si>
  <si>
    <t>ACC024</t>
  </si>
  <si>
    <t>C024</t>
  </si>
  <si>
    <t>ACC025</t>
  </si>
  <si>
    <t>C025</t>
  </si>
  <si>
    <t>ACC026</t>
  </si>
  <si>
    <t>C026</t>
  </si>
  <si>
    <t>ACC027</t>
  </si>
  <si>
    <t>C027</t>
  </si>
  <si>
    <t>ACC028</t>
  </si>
  <si>
    <t>C028</t>
  </si>
  <si>
    <t>ACC029</t>
  </si>
  <si>
    <t>C029</t>
  </si>
  <si>
    <t>ACC030</t>
  </si>
  <si>
    <t>C030</t>
  </si>
  <si>
    <t>ACC031</t>
  </si>
  <si>
    <t>C031</t>
  </si>
  <si>
    <t>ACC032</t>
  </si>
  <si>
    <t>C032</t>
  </si>
  <si>
    <t>ACC033</t>
  </si>
  <si>
    <t>C033</t>
  </si>
  <si>
    <t>ACC034</t>
  </si>
  <si>
    <t>C034</t>
  </si>
  <si>
    <t>ACC035</t>
  </si>
  <si>
    <t>C035</t>
  </si>
  <si>
    <t>ACC036</t>
  </si>
  <si>
    <t>C036</t>
  </si>
  <si>
    <t>ACC037</t>
  </si>
  <si>
    <t>C037</t>
  </si>
  <si>
    <t>ACC038</t>
  </si>
  <si>
    <t>C038</t>
  </si>
  <si>
    <t>ACC039</t>
  </si>
  <si>
    <t>C039</t>
  </si>
  <si>
    <t>ACC040</t>
  </si>
  <si>
    <t>C040</t>
  </si>
  <si>
    <t>ACC041</t>
  </si>
  <si>
    <t>C041</t>
  </si>
  <si>
    <t>ACC042</t>
  </si>
  <si>
    <t>C042</t>
  </si>
  <si>
    <t>ACC043</t>
  </si>
  <si>
    <t>C043</t>
  </si>
  <si>
    <t>ACC044</t>
  </si>
  <si>
    <t>C044</t>
  </si>
  <si>
    <t>ACC045</t>
  </si>
  <si>
    <t>C045</t>
  </si>
  <si>
    <t>ACC046</t>
  </si>
  <si>
    <t>C046</t>
  </si>
  <si>
    <t>ACC047</t>
  </si>
  <si>
    <t>C047</t>
  </si>
  <si>
    <t>ACC048</t>
  </si>
  <si>
    <t>C048</t>
  </si>
  <si>
    <t>ACC049</t>
  </si>
  <si>
    <t>C049</t>
  </si>
  <si>
    <t>ACC050</t>
  </si>
  <si>
    <t>C050</t>
  </si>
  <si>
    <t>Transaction ID</t>
  </si>
  <si>
    <t>Transaction Date</t>
  </si>
  <si>
    <t>Account Number</t>
  </si>
  <si>
    <t>Deposit Mode</t>
  </si>
  <si>
    <t>Deposit Amount</t>
  </si>
  <si>
    <t>Deposit Status</t>
  </si>
  <si>
    <t>Credit Amount</t>
  </si>
  <si>
    <t>T001</t>
  </si>
  <si>
    <t xml:space="preserve">Cash </t>
  </si>
  <si>
    <t>T002</t>
  </si>
  <si>
    <t>Cheque</t>
  </si>
  <si>
    <t>T003</t>
  </si>
  <si>
    <t>Online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</si>
  <si>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</si>
  <si>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</si>
  <si>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</si>
  <si>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</si>
  <si>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</si>
  <si>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</si>
  <si>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</si>
  <si>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</si>
  <si>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</si>
  <si>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</si>
  <si>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</si>
  <si>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</si>
  <si>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</si>
  <si>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</si>
  <si>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</si>
  <si>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</si>
  <si>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</si>
  <si>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</si>
  <si>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</si>
  <si>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</si>
  <si>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</si>
  <si>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</si>
  <si>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</si>
  <si>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</si>
  <si>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</si>
  <si>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</si>
  <si>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</si>
  <si>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</si>
  <si>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</si>
  <si>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</si>
  <si>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</si>
  <si>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</si>
  <si>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</si>
  <si>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</si>
  <si>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</si>
  <si>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</si>
  <si>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</si>
  <si>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</si>
  <si>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</si>
  <si>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</si>
  <si>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</si>
  <si>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</si>
  <si>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</si>
  <si>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</si>
  <si>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</si>
  <si>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</si>
  <si>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</si>
  <si>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FD ID</t>
  </si>
  <si>
    <t>Principal Amount</t>
  </si>
  <si>
    <t>Interest Rate</t>
  </si>
  <si>
    <t>Duration (Months)</t>
  </si>
  <si>
    <t>Start Date</t>
  </si>
  <si>
    <t>Maturity Date Maturity Amount Statu</t>
  </si>
  <si>
    <t>Column 1</t>
  </si>
  <si>
    <t>Status</t>
  </si>
  <si>
    <t>FD-001</t>
  </si>
  <si>
    <t>CUST-001</t>
  </si>
  <si>
    <t>FD-002</t>
  </si>
  <si>
    <t>CUST-002</t>
  </si>
  <si>
    <t>FD-003</t>
  </si>
  <si>
    <t>CUST-003</t>
  </si>
  <si>
    <t>FD-004</t>
  </si>
  <si>
    <t>CUST-004</t>
  </si>
  <si>
    <t>FD-005</t>
  </si>
  <si>
    <t>CUST-005</t>
  </si>
  <si>
    <t>FD-006</t>
  </si>
  <si>
    <t>CUST-006</t>
  </si>
  <si>
    <t>FD-007</t>
  </si>
  <si>
    <t>CUST-007</t>
  </si>
  <si>
    <t>FD-008</t>
  </si>
  <si>
    <t>CUST-008</t>
  </si>
  <si>
    <t>FD-009</t>
  </si>
  <si>
    <t>CUST-009</t>
  </si>
  <si>
    <t>FD-010</t>
  </si>
  <si>
    <t>CUST-010</t>
  </si>
  <si>
    <t>FD-011</t>
  </si>
  <si>
    <t>CUST-011</t>
  </si>
  <si>
    <t>FD-012</t>
  </si>
  <si>
    <t>CUST-012</t>
  </si>
  <si>
    <t>FD-013</t>
  </si>
  <si>
    <t>CUST-013</t>
  </si>
  <si>
    <t>FD-014</t>
  </si>
  <si>
    <t>CUST-014</t>
  </si>
  <si>
    <t>FD-015</t>
  </si>
  <si>
    <t>CUST-015</t>
  </si>
  <si>
    <t>FD-016</t>
  </si>
  <si>
    <t>CUST-016</t>
  </si>
  <si>
    <t>FD-017</t>
  </si>
  <si>
    <t>CUST-017</t>
  </si>
  <si>
    <t>FD-018</t>
  </si>
  <si>
    <t>CUST-018</t>
  </si>
  <si>
    <t>FD-019</t>
  </si>
  <si>
    <t>CUST-019</t>
  </si>
  <si>
    <t>FD-020</t>
  </si>
  <si>
    <t>CUST-020</t>
  </si>
  <si>
    <t>FD-021</t>
  </si>
  <si>
    <t>CUST-021</t>
  </si>
  <si>
    <t>FD-022</t>
  </si>
  <si>
    <t>CUST-022</t>
  </si>
  <si>
    <t>FD-023</t>
  </si>
  <si>
    <t>CUST-023</t>
  </si>
  <si>
    <t>FD-024</t>
  </si>
  <si>
    <t>CUST-024</t>
  </si>
  <si>
    <t>FD-025</t>
  </si>
  <si>
    <t>CUST-025</t>
  </si>
  <si>
    <t>FD-026</t>
  </si>
  <si>
    <t>CUST-026</t>
  </si>
  <si>
    <t>FD-027</t>
  </si>
  <si>
    <t>CUST-027</t>
  </si>
  <si>
    <t>FD-028</t>
  </si>
  <si>
    <t>CUST-028</t>
  </si>
  <si>
    <t>FD-029</t>
  </si>
  <si>
    <t>CUST-029</t>
  </si>
  <si>
    <t>FD-030</t>
  </si>
  <si>
    <t>CUST-030</t>
  </si>
  <si>
    <t>FD-031</t>
  </si>
  <si>
    <t>CUST-031</t>
  </si>
  <si>
    <t>FD-032</t>
  </si>
  <si>
    <t>CUST-032</t>
  </si>
  <si>
    <t>FD-033</t>
  </si>
  <si>
    <t>CUST-033</t>
  </si>
  <si>
    <t>FD-034</t>
  </si>
  <si>
    <t>CUST-034</t>
  </si>
  <si>
    <t>FD-035</t>
  </si>
  <si>
    <t>CUST-035</t>
  </si>
  <si>
    <t>FD-036</t>
  </si>
  <si>
    <t>CUST-036</t>
  </si>
  <si>
    <t>FD-037</t>
  </si>
  <si>
    <t>CUST-037</t>
  </si>
  <si>
    <t>FD-038</t>
  </si>
  <si>
    <t>CUST-038</t>
  </si>
  <si>
    <t>FD-039</t>
  </si>
  <si>
    <t>CUST-039</t>
  </si>
  <si>
    <t>FD-040</t>
  </si>
  <si>
    <t>CUST-040</t>
  </si>
  <si>
    <t>FD-041</t>
  </si>
  <si>
    <t>CUST-041</t>
  </si>
  <si>
    <t>FD-042</t>
  </si>
  <si>
    <t>CUST-042</t>
  </si>
  <si>
    <t>FD-043</t>
  </si>
  <si>
    <t>CUST-043</t>
  </si>
  <si>
    <t>FD-044</t>
  </si>
  <si>
    <t>CUST-044</t>
  </si>
  <si>
    <t>FD-045</t>
  </si>
  <si>
    <t>CUST-045</t>
  </si>
  <si>
    <t>FD-046</t>
  </si>
  <si>
    <t>CUST-046</t>
  </si>
  <si>
    <t>FD-047</t>
  </si>
  <si>
    <t>CUST-047</t>
  </si>
  <si>
    <t>FD-048</t>
  </si>
  <si>
    <t>CUST-048</t>
  </si>
  <si>
    <t>FD-049</t>
  </si>
  <si>
    <t>CUST-049</t>
  </si>
  <si>
    <t>FD-050</t>
  </si>
  <si>
    <t>CUST-050</t>
  </si>
  <si>
    <t>Loan ID</t>
  </si>
  <si>
    <t>Loan Type</t>
  </si>
  <si>
    <t>Application Date</t>
  </si>
  <si>
    <t>Requested Amount</t>
  </si>
  <si>
    <t>Approval Date</t>
  </si>
  <si>
    <t>Tenure (Months)</t>
  </si>
  <si>
    <t>EMI Amount</t>
  </si>
  <si>
    <t>Total Payable</t>
  </si>
  <si>
    <t>First EMI Date</t>
  </si>
  <si>
    <t>EMI Coun</t>
  </si>
  <si>
    <t>Amount Paid</t>
  </si>
  <si>
    <t>Outstanding Balance</t>
  </si>
  <si>
    <t xml:space="preserve"> Loan Status </t>
  </si>
  <si>
    <t>LN-001</t>
  </si>
  <si>
    <t>B-101</t>
  </si>
  <si>
    <t>Personal Loan</t>
  </si>
  <si>
    <t>LN-002</t>
  </si>
  <si>
    <t>B-102</t>
  </si>
  <si>
    <t>Car Loan</t>
  </si>
  <si>
    <t>LN-003</t>
  </si>
  <si>
    <t>Home Loan</t>
  </si>
  <si>
    <t>LN-004</t>
  </si>
  <si>
    <t>B-103</t>
  </si>
  <si>
    <t>LN-005</t>
  </si>
  <si>
    <t>B-104</t>
  </si>
  <si>
    <t>LN-006</t>
  </si>
  <si>
    <t>LN-007</t>
  </si>
  <si>
    <t>LN-008</t>
  </si>
  <si>
    <t>LN-009</t>
  </si>
  <si>
    <t>LN-010</t>
  </si>
  <si>
    <t>LN-011</t>
  </si>
  <si>
    <t>LN-012</t>
  </si>
  <si>
    <t>LN-013</t>
  </si>
  <si>
    <t>LN-014</t>
  </si>
  <si>
    <t>LN-015</t>
  </si>
  <si>
    <t>LN-016</t>
  </si>
  <si>
    <t>LN-017</t>
  </si>
  <si>
    <t>LN-018</t>
  </si>
  <si>
    <t>LN-019</t>
  </si>
  <si>
    <t>LN-020</t>
  </si>
  <si>
    <t>LN-021</t>
  </si>
  <si>
    <t>LN-022</t>
  </si>
  <si>
    <t>LN-023</t>
  </si>
  <si>
    <t>LN-024</t>
  </si>
  <si>
    <t>LN-025</t>
  </si>
  <si>
    <t>LN-026</t>
  </si>
  <si>
    <t>LN-027</t>
  </si>
  <si>
    <t>LN-028</t>
  </si>
  <si>
    <t>LN-029</t>
  </si>
  <si>
    <t>LN-030</t>
  </si>
  <si>
    <t>LN-031</t>
  </si>
  <si>
    <t>LN-032</t>
  </si>
  <si>
    <t>LN-033</t>
  </si>
  <si>
    <t>LN-034</t>
  </si>
  <si>
    <t>LN-035</t>
  </si>
  <si>
    <t>LN-036</t>
  </si>
  <si>
    <t>LN-037</t>
  </si>
  <si>
    <t>LN-038</t>
  </si>
  <si>
    <t>LN-039</t>
  </si>
  <si>
    <t>LN-040</t>
  </si>
  <si>
    <t>LN-041</t>
  </si>
  <si>
    <t>LN-042</t>
  </si>
  <si>
    <t>LN-043</t>
  </si>
  <si>
    <t>LN-044</t>
  </si>
  <si>
    <t>LN-045</t>
  </si>
  <si>
    <t>LN-046</t>
  </si>
  <si>
    <t>LN-047</t>
  </si>
  <si>
    <t>LN-048</t>
  </si>
  <si>
    <t>LN-049</t>
  </si>
  <si>
    <t>LN-050</t>
  </si>
  <si>
    <t>Employee ID</t>
  </si>
  <si>
    <t>Employee Name</t>
  </si>
  <si>
    <t>Designation</t>
  </si>
  <si>
    <t>Basic Salary</t>
  </si>
  <si>
    <t>Bonus</t>
  </si>
  <si>
    <t>Deduction</t>
  </si>
  <si>
    <t>Net Salary</t>
  </si>
  <si>
    <t>EMP-001</t>
  </si>
  <si>
    <t>Rahul Sharma</t>
  </si>
  <si>
    <t>Manager</t>
  </si>
  <si>
    <t>EMP-002</t>
  </si>
  <si>
    <t>Priya Singh</t>
  </si>
  <si>
    <t>Developer</t>
  </si>
  <si>
    <t>EMP-003</t>
  </si>
  <si>
    <t>Amit Patel</t>
  </si>
  <si>
    <t>HR Executive</t>
  </si>
  <si>
    <t>EMP-004</t>
  </si>
  <si>
    <t>Sneha Verma</t>
  </si>
  <si>
    <t>Senior Analyst</t>
  </si>
  <si>
    <t>EMP-005</t>
  </si>
  <si>
    <t>Vikram Rao</t>
  </si>
  <si>
    <t>Accountant</t>
  </si>
  <si>
    <t>EMP-006</t>
  </si>
  <si>
    <t>Neha Gupta</t>
  </si>
  <si>
    <t>Junior Developer</t>
  </si>
  <si>
    <t>EMP-007</t>
  </si>
  <si>
    <t>Ravi Kumar</t>
  </si>
  <si>
    <t>Sales Manager</t>
  </si>
  <si>
    <t>EMP-008</t>
  </si>
  <si>
    <t>Anjali Mehta</t>
  </si>
  <si>
    <t>QA Engineer</t>
  </si>
  <si>
    <t>EMP-009</t>
  </si>
  <si>
    <t>Suresh Iyer</t>
  </si>
  <si>
    <t>Data Entry Operator</t>
  </si>
  <si>
    <t>EMP-010</t>
  </si>
  <si>
    <t>Kavita Nair</t>
  </si>
  <si>
    <t>Admin</t>
  </si>
  <si>
    <t>EMP-011</t>
  </si>
  <si>
    <t>Rajesh Malhotra</t>
  </si>
  <si>
    <t>Project Lead</t>
  </si>
  <si>
    <t>EMP-012</t>
  </si>
  <si>
    <t>Deepa Joshi</t>
  </si>
  <si>
    <t>Business Analyst</t>
  </si>
  <si>
    <t>EMP-013</t>
  </si>
  <si>
    <t>Mohan Das</t>
  </si>
  <si>
    <t>Security</t>
  </si>
  <si>
    <t>EMP-014</t>
  </si>
  <si>
    <t>Lakshmi Prasad</t>
  </si>
  <si>
    <t>Content Writer</t>
  </si>
  <si>
    <t>EMP-015</t>
  </si>
  <si>
    <t>Arun Kapoor</t>
  </si>
  <si>
    <t>Marketing Lead</t>
  </si>
  <si>
    <t>EMP-016</t>
  </si>
  <si>
    <t>Shreya Ghosh</t>
  </si>
  <si>
    <t>Graphic Designer</t>
  </si>
  <si>
    <t>EMP-017</t>
  </si>
  <si>
    <t>Vinod Khanna</t>
  </si>
  <si>
    <t>Logistics Manager</t>
  </si>
  <si>
    <t>EMP-018</t>
  </si>
  <si>
    <t>Pooja Bhatt</t>
  </si>
  <si>
    <t>Software Engineer</t>
  </si>
  <si>
    <t>EMP-019</t>
  </si>
  <si>
    <t>Sandeep Saxena</t>
  </si>
  <si>
    <t>Financial Advisor</t>
  </si>
  <si>
    <t>EMP-020</t>
  </si>
  <si>
    <t>Ritu Kaur</t>
  </si>
  <si>
    <t>Receptionist</t>
  </si>
  <si>
    <t>EMP-021</t>
  </si>
  <si>
    <t>Dinesh Yadav</t>
  </si>
  <si>
    <t>Store Manager</t>
  </si>
  <si>
    <t>EMP-022</t>
  </si>
  <si>
    <t>Mitali Raj</t>
  </si>
  <si>
    <t>Team Lead</t>
  </si>
  <si>
    <t>EMP-023</t>
  </si>
  <si>
    <t>Gaurav Sharma</t>
  </si>
  <si>
    <t>Network Engineer</t>
  </si>
  <si>
    <t>EMP-024</t>
  </si>
  <si>
    <t>Divya Agarwal</t>
  </si>
  <si>
    <t>Trainer</t>
  </si>
  <si>
    <t>EMP-025</t>
  </si>
  <si>
    <t>Sanjay Dutt</t>
  </si>
  <si>
    <t>Operations Head</t>
  </si>
  <si>
    <t>EMP-026</t>
  </si>
  <si>
    <t>Arti Kumari</t>
  </si>
  <si>
    <t>HR Manager</t>
  </si>
  <si>
    <t>EMP-027</t>
  </si>
  <si>
    <t>Rakesh Roshan</t>
  </si>
  <si>
    <t>Senior Developer</t>
  </si>
  <si>
    <t>EMP-028</t>
  </si>
  <si>
    <t>Kiran Bedi</t>
  </si>
  <si>
    <t>Legal Advisor</t>
  </si>
  <si>
    <t>EMP-029</t>
  </si>
  <si>
    <t>Manoj Kumar</t>
  </si>
  <si>
    <t>Driver</t>
  </si>
  <si>
    <t>EMP-030</t>
  </si>
  <si>
    <t>Sunita Williams</t>
  </si>
  <si>
    <t>Public Relations</t>
  </si>
  <si>
    <t>EMP-031</t>
  </si>
  <si>
    <t>Vikas Seth</t>
  </si>
  <si>
    <t>IT Manager</t>
  </si>
  <si>
    <t>EMP-032</t>
  </si>
  <si>
    <t>Rashmi Desai</t>
  </si>
  <si>
    <t>Recruiter</t>
  </si>
  <si>
    <t>EMP-033</t>
  </si>
  <si>
    <t>Pankaj Udhas</t>
  </si>
  <si>
    <t>Procurement</t>
  </si>
  <si>
    <t>EMP-034</t>
  </si>
  <si>
    <t>Meenal Jain</t>
  </si>
  <si>
    <t>Data Scientist</t>
  </si>
  <si>
    <t>EMP-035</t>
  </si>
  <si>
    <t>Lokesh Singh</t>
  </si>
  <si>
    <t>Office Boy</t>
  </si>
  <si>
    <t>EMP-036</t>
  </si>
  <si>
    <t>Anita Roy</t>
  </si>
  <si>
    <t>Customer Support</t>
  </si>
  <si>
    <t>EMP-037</t>
  </si>
  <si>
    <t>Karan Johar</t>
  </si>
  <si>
    <t>Brand Manager</t>
  </si>
  <si>
    <t>EMP-038</t>
  </si>
  <si>
    <t>Swara Bhaskar</t>
  </si>
  <si>
    <t>UX Designer</t>
  </si>
  <si>
    <t>EMP-039</t>
  </si>
  <si>
    <t>Tusshar Kapoor</t>
  </si>
  <si>
    <t>Inventory Manager</t>
  </si>
  <si>
    <t>EMP-040</t>
  </si>
  <si>
    <t>Bhumi Pednekar</t>
  </si>
  <si>
    <t>Product Manager</t>
  </si>
  <si>
    <t>EMP-041</t>
  </si>
  <si>
    <t>Ayushmann K</t>
  </si>
  <si>
    <t>Quality Lead</t>
  </si>
  <si>
    <t>EMP-042</t>
  </si>
  <si>
    <t>Kriti Sanon</t>
  </si>
  <si>
    <t>Research Analyst</t>
  </si>
  <si>
    <t>EMP-043</t>
  </si>
  <si>
    <t>Varun Dhawan</t>
  </si>
  <si>
    <t>Sales Executive</t>
  </si>
  <si>
    <t>EMP-044</t>
  </si>
  <si>
    <t>Jacqueline F</t>
  </si>
  <si>
    <t>Intern</t>
  </si>
  <si>
    <t>EMP-045</t>
  </si>
  <si>
    <t>Rajkummar Rao</t>
  </si>
  <si>
    <t>DevOps Engineer</t>
  </si>
  <si>
    <t>EMP-046</t>
  </si>
  <si>
    <t>Tapsee Pannu</t>
  </si>
  <si>
    <t>Compliance Officer</t>
  </si>
  <si>
    <t>EMP-047</t>
  </si>
  <si>
    <t>Vicky Kaushal</t>
  </si>
  <si>
    <t>Architect</t>
  </si>
  <si>
    <t>EMP-048</t>
  </si>
  <si>
    <t>Yami Gautam</t>
  </si>
  <si>
    <t>Interior Designer</t>
  </si>
  <si>
    <t>EMP-049</t>
  </si>
  <si>
    <t>Rohit Sharma</t>
  </si>
  <si>
    <t>Sports Coach</t>
  </si>
  <si>
    <t>EMP-050</t>
  </si>
  <si>
    <t>Smriti Mandhana</t>
  </si>
  <si>
    <t>Senior HR</t>
  </si>
  <si>
    <t>Branch Summary Table</t>
  </si>
  <si>
    <t>Source Data</t>
  </si>
  <si>
    <t>Branch Code</t>
  </si>
  <si>
    <t>Total Customers</t>
  </si>
  <si>
    <t>Total Accounts</t>
  </si>
  <si>
    <t>Total Deposits</t>
  </si>
  <si>
    <t>Total Loans</t>
  </si>
  <si>
    <t>Revenue</t>
  </si>
  <si>
    <t>Trans ID</t>
  </si>
  <si>
    <t>Type</t>
  </si>
  <si>
    <t>Amount</t>
  </si>
  <si>
    <t>BR-001</t>
  </si>
  <si>
    <t>Delhi Main</t>
  </si>
  <si>
    <t>T-001</t>
  </si>
  <si>
    <t>Deposit</t>
  </si>
  <si>
    <t>BR-002</t>
  </si>
  <si>
    <t>Mumbai South</t>
  </si>
  <si>
    <t>T-002</t>
  </si>
  <si>
    <t>Loan</t>
  </si>
  <si>
    <t>BR-003</t>
  </si>
  <si>
    <t>Bangalore Central</t>
  </si>
  <si>
    <t>T-003</t>
  </si>
  <si>
    <t>Account</t>
  </si>
  <si>
    <t>BR-004</t>
  </si>
  <si>
    <t>Hyderabad City</t>
  </si>
  <si>
    <t>T-004</t>
  </si>
  <si>
    <t>BR-005</t>
  </si>
  <si>
    <t>Chennai North</t>
  </si>
  <si>
    <t>T-005</t>
  </si>
  <si>
    <t>BR-006</t>
  </si>
  <si>
    <t>Kolkata East</t>
  </si>
  <si>
    <t>T-006</t>
  </si>
  <si>
    <t>BR-007</t>
  </si>
  <si>
    <t>Pune West</t>
  </si>
  <si>
    <t>T-007</t>
  </si>
  <si>
    <t>BR-008</t>
  </si>
  <si>
    <t>Ahmedabad GIDC</t>
  </si>
  <si>
    <t>T-008</t>
  </si>
  <si>
    <t>BR-009</t>
  </si>
  <si>
    <t>Jaipur Pink City</t>
  </si>
  <si>
    <t>T-009</t>
  </si>
  <si>
    <t>BR-010</t>
  </si>
  <si>
    <t>Lucknow Hazratganj</t>
  </si>
  <si>
    <t>T-010</t>
  </si>
  <si>
    <t>BR-011</t>
  </si>
  <si>
    <t>Surat Diamond</t>
  </si>
  <si>
    <t>T-011</t>
  </si>
  <si>
    <t>BR-012</t>
  </si>
  <si>
    <t>Kanpur Industrial</t>
  </si>
  <si>
    <t>T-012</t>
  </si>
  <si>
    <t>BR-013</t>
  </si>
  <si>
    <t>Nagpur Orange City</t>
  </si>
  <si>
    <t>T-013</t>
  </si>
  <si>
    <t>BR-014</t>
  </si>
  <si>
    <t>Indore City</t>
  </si>
  <si>
    <t>T-014</t>
  </si>
  <si>
    <t>BR-015</t>
  </si>
  <si>
    <t>Bhopal Capital</t>
  </si>
  <si>
    <t>T-015</t>
  </si>
  <si>
    <t>BR-016</t>
  </si>
  <si>
    <t>Visakhapatnam</t>
  </si>
  <si>
    <t>T-016</t>
  </si>
  <si>
    <t>BR-017</t>
  </si>
  <si>
    <t>Patna</t>
  </si>
  <si>
    <t>T-017</t>
  </si>
  <si>
    <t>BR-018</t>
  </si>
  <si>
    <t>Vadodara</t>
  </si>
  <si>
    <t>T-018</t>
  </si>
  <si>
    <t>BR-019</t>
  </si>
  <si>
    <t>Ghaziabad</t>
  </si>
  <si>
    <t>T-019</t>
  </si>
  <si>
    <t>BR-020</t>
  </si>
  <si>
    <t>Ludhiana</t>
  </si>
  <si>
    <t>T-020</t>
  </si>
  <si>
    <t>BR-021</t>
  </si>
  <si>
    <t>Agra Taj City</t>
  </si>
  <si>
    <t>T-021</t>
  </si>
  <si>
    <t>BR-022</t>
  </si>
  <si>
    <t>Nashik</t>
  </si>
  <si>
    <t>T-022</t>
  </si>
  <si>
    <t>BR-023</t>
  </si>
  <si>
    <t>Faridabad</t>
  </si>
  <si>
    <t>T-023</t>
  </si>
  <si>
    <t>BR-024</t>
  </si>
  <si>
    <t>Meerut</t>
  </si>
  <si>
    <t>T-024</t>
  </si>
  <si>
    <t>BR-025</t>
  </si>
  <si>
    <t>Rajkot</t>
  </si>
  <si>
    <t>T-025</t>
  </si>
  <si>
    <t>BR-026</t>
  </si>
  <si>
    <t>Varanasi</t>
  </si>
  <si>
    <t>T-026</t>
  </si>
  <si>
    <t>BR-027</t>
  </si>
  <si>
    <t>Srinagar</t>
  </si>
  <si>
    <t>T-027</t>
  </si>
  <si>
    <t>BR-028</t>
  </si>
  <si>
    <t>Aurangabad</t>
  </si>
  <si>
    <t>T-028</t>
  </si>
  <si>
    <t>BR-029</t>
  </si>
  <si>
    <t>Dhanbad</t>
  </si>
  <si>
    <t>T-029</t>
  </si>
  <si>
    <t>BR-030</t>
  </si>
  <si>
    <t>Amritsar</t>
  </si>
  <si>
    <t>T-030</t>
  </si>
  <si>
    <t>BR-031</t>
  </si>
  <si>
    <t>Navi Mumbai</t>
  </si>
  <si>
    <t>T-031</t>
  </si>
  <si>
    <t>BR-032</t>
  </si>
  <si>
    <t>Allahabad</t>
  </si>
  <si>
    <t>T-032</t>
  </si>
  <si>
    <t>BR-033</t>
  </si>
  <si>
    <t>Ranchi</t>
  </si>
  <si>
    <t>T-033</t>
  </si>
  <si>
    <t>BR-034</t>
  </si>
  <si>
    <t>Howrah</t>
  </si>
  <si>
    <t>T-034</t>
  </si>
  <si>
    <t>BR-035</t>
  </si>
  <si>
    <t>Jabalpur</t>
  </si>
  <si>
    <t>T-035</t>
  </si>
  <si>
    <t>BR-036</t>
  </si>
  <si>
    <t>Gwalior</t>
  </si>
  <si>
    <t>T-036</t>
  </si>
  <si>
    <t>BR-037</t>
  </si>
  <si>
    <t>Vijayawada</t>
  </si>
  <si>
    <t>T-037</t>
  </si>
  <si>
    <t>BR-038</t>
  </si>
  <si>
    <t>Jodhpur</t>
  </si>
  <si>
    <t>T-038</t>
  </si>
  <si>
    <t>BR-039</t>
  </si>
  <si>
    <t>Madurai</t>
  </si>
  <si>
    <t>T-039</t>
  </si>
  <si>
    <t>BR-040</t>
  </si>
  <si>
    <t>Raipur</t>
  </si>
  <si>
    <t>T-040</t>
  </si>
  <si>
    <t>BR-041</t>
  </si>
  <si>
    <t>Kota</t>
  </si>
  <si>
    <t>T-041</t>
  </si>
  <si>
    <t>BR-042</t>
  </si>
  <si>
    <t>Guwahati</t>
  </si>
  <si>
    <t>T-042</t>
  </si>
  <si>
    <t>BR-043</t>
  </si>
  <si>
    <t>Chandigarh</t>
  </si>
  <si>
    <t>T-043</t>
  </si>
  <si>
    <t>BR-044</t>
  </si>
  <si>
    <t>Solapur</t>
  </si>
  <si>
    <t>T-044</t>
  </si>
  <si>
    <t>BR-045</t>
  </si>
  <si>
    <t>Hubli</t>
  </si>
  <si>
    <t>T-045</t>
  </si>
  <si>
    <t>BR-046</t>
  </si>
  <si>
    <t>Mysore</t>
  </si>
  <si>
    <t>T-046</t>
  </si>
  <si>
    <t>BR-047</t>
  </si>
  <si>
    <t>Tiruchirappalli</t>
  </si>
  <si>
    <t>T-047</t>
  </si>
  <si>
    <t>BR-048</t>
  </si>
  <si>
    <t>Bareilly</t>
  </si>
  <si>
    <t>T-048</t>
  </si>
  <si>
    <t>BR-049</t>
  </si>
  <si>
    <t>Aligarh</t>
  </si>
  <si>
    <t>T-049</t>
  </si>
  <si>
    <t>BR-050</t>
  </si>
  <si>
    <t>Tirupati</t>
  </si>
  <si>
    <t>T-050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</si>
</sst>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yyyy-mm-dd"/>
    <numFmt numFmtId="167" formatCode="[$£-809]#,##0.00"/>
  </numFmts>
  <fonts count="11">
    <font>
      <sz val="10.0"/>
      <color rgb="FF000000"/>
      <name val="Arial"/>
      <scheme val="minor"/>
    </font>
    <font>
      <b/>
      <color theme="1"/>
      <name val="Times"/>
    </font>
    <font>
      <color theme="1"/>
      <name val="Times"/>
    </font>
    <font>
      <b/>
      <sz val="14.0"/>
      <color theme="1"/>
      <name val="Times"/>
    </font>
    <font>
      <color theme="1"/>
      <name val="Arial"/>
      <scheme val="minor"/>
    </font>
    <font>
      <sz val="10.0"/>
      <color theme="1"/>
      <name val="Times"/>
    </font>
    <font>
      <sz val="10.0"/>
      <color rgb="FF0D0D0D"/>
      <name val="Times"/>
    </font>
    <font>
      <sz val="14.0"/>
      <color rgb="FF000000"/>
      <name val="Times"/>
    </font>
    <font>
      <sz val="18.0"/>
      <color rgb="FF000000"/>
      <name val="Times"/>
    </font>
    <font>
      <sz val="18.0"/>
      <color theme="1"/>
      <name val="Times"/>
    </font>
    <font>
      <sz val="16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4" numFmtId="0" xfId="0" applyBorder="1" applyFont="1"/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4" numFmtId="0" xfId="0" applyBorder="1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7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8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2" fontId="7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2" fontId="10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Branch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Customer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Account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osite Trans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xed Depos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an Management Sys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 Payroll Manag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ch Performance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ch Performance Dashboar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52" displayName="Table4" name="Table4" id="1">
  <tableColumns count="5">
    <tableColumn name="Branch ID" id="1"/>
    <tableColumn name="Branch Name" id="2"/>
    <tableColumn name="City" id="3"/>
    <tableColumn name="Manager Name" id="4"/>
    <tableColumn name="Contact Number" id="5"/>
  </tableColumns>
  <tableStyleInfo name="Branch Information-style" showColumnStripes="0" showFirstColumn="1" showLastColumn="1" showRowStripes="1"/>
</table>
</file>

<file path=xl/tables/table2.xml><?xml version="1.0" encoding="utf-8"?>
<table xmlns="http://schemas.openxmlformats.org/spreadsheetml/2006/main" ref="A2:I52" displayName="Table5" name="Table5" id="2">
  <tableColumns count="9">
    <tableColumn name="Customer ID" id="1"/>
    <tableColumn name="Customer Name" id="2"/>
    <tableColumn name="CNIC" id="3"/>
    <tableColumn name="DOB" id="4"/>
    <tableColumn name="Age" id="5"/>
    <tableColumn name="Gender" id="6"/>
    <tableColumn name="Mobile" id="7"/>
    <tableColumn name="Address" id="8"/>
    <tableColumn name="Branch ID" id="9"/>
  </tableColumns>
  <tableStyleInfo name=" Customer Information-style" showColumnStripes="0" showFirstColumn="1" showLastColumn="1" showRowStripes="1"/>
</table>
</file>

<file path=xl/tables/table3.xml><?xml version="1.0" encoding="utf-8"?>
<table xmlns="http://schemas.openxmlformats.org/spreadsheetml/2006/main" ref="A2:I52" displayName="Table3" name="Table3" id="3">
  <tableColumns count="9">
    <tableColumn name="Account No" id="1"/>
    <tableColumn name="Customer ID" id="2"/>
    <tableColumn name="Branch ID" id="3"/>
    <tableColumn name="Account Type" id="4"/>
    <tableColumn name="Opening Date" id="5"/>
    <tableColumn name="Initial Deposit" id="6"/>
    <tableColumn name="Transfers In" id="7"/>
    <tableColumn name="Current Balance" id="8"/>
    <tableColumn name="Account Status" id="9"/>
  </tableColumns>
  <tableStyleInfo name=" Account Information-style" showColumnStripes="0" showFirstColumn="1" showLastColumn="1" showRowStripes="1"/>
</table>
</file>

<file path=xl/tables/table4.xml><?xml version="1.0" encoding="utf-8"?>
<table xmlns="http://schemas.openxmlformats.org/spreadsheetml/2006/main" ref="B2:H52" displayName="Table2" name="Table2" id="4">
  <tableColumns count="7">
    <tableColumn name="Transaction ID" id="1"/>
    <tableColumn name="Transaction Date" id="2"/>
    <tableColumn name="Account Number" id="3"/>
    <tableColumn name="Deposit Mode" id="4"/>
    <tableColumn name="Deposit Amount" id="5"/>
    <tableColumn name="Deposit Status" id="6"/>
    <tableColumn name="Credit Amount" id="7"/>
  </tableColumns>
  <tableStyleInfo name="Deposite Transaction-style" showColumnStripes="0" showFirstColumn="1" showLastColumn="1" showRowStripes="1"/>
</table>
</file>

<file path=xl/tables/table5.xml><?xml version="1.0" encoding="utf-8"?>
<table xmlns="http://schemas.openxmlformats.org/spreadsheetml/2006/main" ref="A2:I52" displayName="Table1" name="Table1" id="5">
  <tableColumns count="9">
    <tableColumn name="FD ID" id="1"/>
    <tableColumn name="Customer ID" id="2"/>
    <tableColumn name="Principal Amount" id="3"/>
    <tableColumn name="Interest Rate" id="4"/>
    <tableColumn name="Duration (Months)" id="5"/>
    <tableColumn name="Start Date" id="6"/>
    <tableColumn name="Maturity Date Maturity Amount Statu" id="7"/>
    <tableColumn name="Column 1" id="8"/>
    <tableColumn name="Status" id="9"/>
  </tableColumns>
  <tableStyleInfo name="Fixed Deposit-style" showColumnStripes="0" showFirstColumn="1" showLastColumn="1" showRowStripes="1"/>
</table>
</file>

<file path=xl/tables/table6.xml><?xml version="1.0" encoding="utf-8"?>
<table xmlns="http://schemas.openxmlformats.org/spreadsheetml/2006/main" ref="A2:P52" displayName="Table6" name="Table6" id="6">
  <tableColumns count="16">
    <tableColumn name="Loan ID" id="1"/>
    <tableColumn name="Customer ID" id="2"/>
    <tableColumn name="Branch ID" id="3"/>
    <tableColumn name="Loan Type" id="4"/>
    <tableColumn name="Application Date" id="5"/>
    <tableColumn name="Requested Amount" id="6"/>
    <tableColumn name="Approval Date" id="7"/>
    <tableColumn name="Interest Rate" id="8"/>
    <tableColumn name="Tenure (Months)" id="9"/>
    <tableColumn name="EMI Amount" id="10"/>
    <tableColumn name="Total Payable" id="11"/>
    <tableColumn name="First EMI Date" id="12"/>
    <tableColumn name="EMI Coun" id="13"/>
    <tableColumn name="Amount Paid" id="14"/>
    <tableColumn name="Outstanding Balance" id="15"/>
    <tableColumn name=" Loan Status " id="16"/>
  </tableColumns>
  <tableStyleInfo name="Loan Management System-style" showColumnStripes="0" showFirstColumn="1" showLastColumn="1" showRowStripes="1"/>
</table>
</file>

<file path=xl/tables/table7.xml><?xml version="1.0" encoding="utf-8"?>
<table xmlns="http://schemas.openxmlformats.org/spreadsheetml/2006/main" ref="A2:H52" displayName="Table7" name="Table7" id="7">
  <tableColumns count="8">
    <tableColumn name="Employee ID" id="1"/>
    <tableColumn name="Employee Name" id="2"/>
    <tableColumn name="Branch ID" id="3"/>
    <tableColumn name="Designation" id="4"/>
    <tableColumn name="Basic Salary" id="5"/>
    <tableColumn name="Bonus" id="6"/>
    <tableColumn name="Deduction" id="7"/>
    <tableColumn name="Net Salary" id="8"/>
  </tableColumns>
  <tableStyleInfo name="Employee Payroll Management-style" showColumnStripes="0" showFirstColumn="1" showLastColumn="1" showRowStripes="1"/>
</table>
</file>

<file path=xl/tables/table8.xml><?xml version="1.0" encoding="utf-8"?>
<table xmlns="http://schemas.openxmlformats.org/spreadsheetml/2006/main" ref="A4:G54" displayName="Table8" name="Table8" id="8">
  <tableColumns count="7">
    <tableColumn name="Branch Code" id="1"/>
    <tableColumn name="Branch Name" id="2"/>
    <tableColumn name="Total Customers" id="3"/>
    <tableColumn name="Total Accounts" id="4"/>
    <tableColumn name="Total Deposits" id="5"/>
    <tableColumn name="Total Loans" id="6"/>
    <tableColumn name="Revenue" id="7"/>
  </tableColumns>
  <tableStyleInfo name="Branch Performance Dashboard-style" showColumnStripes="0" showFirstColumn="1" showLastColumn="1" showRowStripes="1"/>
</table>
</file>

<file path=xl/tables/table9.xml><?xml version="1.0" encoding="utf-8"?>
<table xmlns="http://schemas.openxmlformats.org/spreadsheetml/2006/main" ref="I4:L54" displayName="Table9" name="Table9" id="9">
  <tableColumns count="4">
    <tableColumn name="Trans ID" id="1"/>
    <tableColumn name="Branch Code" id="2"/>
    <tableColumn name="Type" id="3"/>
    <tableColumn name="Amount" id="4"/>
  </tableColumns>
  <tableStyleInfo name="Branch Performance 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0.38"/>
    <col customWidth="1" min="4" max="4" width="11.75"/>
    <col customWidth="1" min="5" max="5" width="16.5"/>
    <col customWidth="1" min="6" max="6" width="20.7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22.5" customHeight="1">
      <c r="B3" s="2" t="str">
        <f t="shared" ref="B3:B52" si="1">"B" &amp;TEXT(ROW(A1),"000")</f>
        <v>B001</v>
      </c>
      <c r="C3" s="2" t="s">
        <v>5</v>
      </c>
      <c r="D3" s="3" t="s">
        <v>6</v>
      </c>
      <c r="E3" s="2" t="s">
        <v>7</v>
      </c>
      <c r="F3" s="4">
        <v>3.001234567E9</v>
      </c>
    </row>
    <row r="4" ht="22.5" customHeight="1">
      <c r="B4" s="2" t="str">
        <f t="shared" si="1"/>
        <v>B002</v>
      </c>
      <c r="C4" s="2" t="s">
        <v>8</v>
      </c>
      <c r="D4" s="3" t="s">
        <v>6</v>
      </c>
      <c r="E4" s="2" t="s">
        <v>9</v>
      </c>
      <c r="F4" s="4">
        <v>3.011234567E9</v>
      </c>
    </row>
    <row r="5" ht="22.5" customHeight="1">
      <c r="B5" s="2" t="str">
        <f t="shared" si="1"/>
        <v>B003</v>
      </c>
      <c r="C5" s="2" t="s">
        <v>10</v>
      </c>
      <c r="D5" s="3" t="s">
        <v>6</v>
      </c>
      <c r="E5" s="2" t="s">
        <v>11</v>
      </c>
      <c r="F5" s="4">
        <v>3.021234567E9</v>
      </c>
    </row>
    <row r="6" ht="22.5" customHeight="1">
      <c r="B6" s="2" t="str">
        <f t="shared" si="1"/>
        <v>B004</v>
      </c>
      <c r="C6" s="2" t="s">
        <v>12</v>
      </c>
      <c r="D6" s="3" t="s">
        <v>6</v>
      </c>
      <c r="E6" s="2" t="s">
        <v>13</v>
      </c>
      <c r="F6" s="4">
        <v>3.031234567E9</v>
      </c>
    </row>
    <row r="7" ht="22.5" customHeight="1">
      <c r="B7" s="2" t="str">
        <f t="shared" si="1"/>
        <v>B005</v>
      </c>
      <c r="C7" s="2" t="s">
        <v>14</v>
      </c>
      <c r="D7" s="3" t="s">
        <v>6</v>
      </c>
      <c r="E7" s="2" t="s">
        <v>15</v>
      </c>
      <c r="F7" s="4">
        <v>3.041234567E9</v>
      </c>
    </row>
    <row r="8" ht="22.5" customHeight="1">
      <c r="B8" s="2" t="str">
        <f t="shared" si="1"/>
        <v>B006</v>
      </c>
      <c r="C8" s="2" t="s">
        <v>16</v>
      </c>
      <c r="D8" s="3" t="s">
        <v>6</v>
      </c>
      <c r="E8" s="2" t="s">
        <v>17</v>
      </c>
      <c r="F8" s="4">
        <v>3.051234567E9</v>
      </c>
    </row>
    <row r="9" ht="22.5" customHeight="1">
      <c r="B9" s="2" t="str">
        <f t="shared" si="1"/>
        <v>B007</v>
      </c>
      <c r="C9" s="2" t="s">
        <v>18</v>
      </c>
      <c r="D9" s="3" t="s">
        <v>6</v>
      </c>
      <c r="E9" s="2" t="s">
        <v>19</v>
      </c>
      <c r="F9" s="4">
        <v>3.061234567E9</v>
      </c>
    </row>
    <row r="10" ht="22.5" customHeight="1">
      <c r="B10" s="2" t="str">
        <f t="shared" si="1"/>
        <v>B008</v>
      </c>
      <c r="C10" s="2" t="s">
        <v>20</v>
      </c>
      <c r="D10" s="3" t="s">
        <v>6</v>
      </c>
      <c r="E10" s="2" t="s">
        <v>21</v>
      </c>
      <c r="F10" s="4">
        <v>3.071234567E9</v>
      </c>
    </row>
    <row r="11" ht="22.5" customHeight="1">
      <c r="B11" s="2" t="str">
        <f t="shared" si="1"/>
        <v>B009</v>
      </c>
      <c r="C11" s="2" t="s">
        <v>22</v>
      </c>
      <c r="D11" s="3" t="s">
        <v>6</v>
      </c>
      <c r="E11" s="2" t="s">
        <v>23</v>
      </c>
      <c r="F11" s="4">
        <v>3.081234567E9</v>
      </c>
    </row>
    <row r="12" ht="22.5" customHeight="1">
      <c r="B12" s="2" t="str">
        <f t="shared" si="1"/>
        <v>B010</v>
      </c>
      <c r="C12" s="2" t="s">
        <v>24</v>
      </c>
      <c r="D12" s="3" t="s">
        <v>6</v>
      </c>
      <c r="E12" s="2" t="s">
        <v>25</v>
      </c>
      <c r="F12" s="4">
        <v>3.091234567E9</v>
      </c>
    </row>
    <row r="13" ht="22.5" customHeight="1">
      <c r="B13" s="2" t="str">
        <f t="shared" si="1"/>
        <v>B011</v>
      </c>
      <c r="C13" s="2" t="s">
        <v>26</v>
      </c>
      <c r="D13" s="3" t="s">
        <v>27</v>
      </c>
      <c r="E13" s="2" t="s">
        <v>28</v>
      </c>
      <c r="F13" s="4">
        <v>3.101234567E9</v>
      </c>
    </row>
    <row r="14" ht="22.5" customHeight="1">
      <c r="B14" s="2" t="str">
        <f t="shared" si="1"/>
        <v>B012</v>
      </c>
      <c r="C14" s="2" t="s">
        <v>29</v>
      </c>
      <c r="D14" s="3" t="s">
        <v>27</v>
      </c>
      <c r="E14" s="2" t="s">
        <v>30</v>
      </c>
      <c r="F14" s="4">
        <v>3.111234567E9</v>
      </c>
    </row>
    <row r="15" ht="22.5" customHeight="1">
      <c r="B15" s="2" t="str">
        <f t="shared" si="1"/>
        <v>B013</v>
      </c>
      <c r="C15" s="2" t="s">
        <v>31</v>
      </c>
      <c r="D15" s="3" t="s">
        <v>27</v>
      </c>
      <c r="E15" s="2" t="s">
        <v>32</v>
      </c>
      <c r="F15" s="4">
        <v>3.121234567E9</v>
      </c>
    </row>
    <row r="16" ht="22.5" customHeight="1">
      <c r="B16" s="2" t="str">
        <f t="shared" si="1"/>
        <v>B014</v>
      </c>
      <c r="C16" s="2" t="s">
        <v>33</v>
      </c>
      <c r="D16" s="3" t="s">
        <v>27</v>
      </c>
      <c r="E16" s="2" t="s">
        <v>34</v>
      </c>
      <c r="F16" s="4">
        <v>3.131234567E9</v>
      </c>
    </row>
    <row r="17" ht="22.5" customHeight="1">
      <c r="B17" s="2" t="str">
        <f t="shared" si="1"/>
        <v>B015</v>
      </c>
      <c r="C17" s="2" t="s">
        <v>35</v>
      </c>
      <c r="D17" s="3" t="s">
        <v>27</v>
      </c>
      <c r="E17" s="2" t="s">
        <v>36</v>
      </c>
      <c r="F17" s="4">
        <v>3.141234567E9</v>
      </c>
    </row>
    <row r="18" ht="22.5" customHeight="1">
      <c r="B18" s="2" t="str">
        <f t="shared" si="1"/>
        <v>B016</v>
      </c>
      <c r="C18" s="2" t="s">
        <v>37</v>
      </c>
      <c r="D18" s="3" t="s">
        <v>27</v>
      </c>
      <c r="E18" s="2" t="s">
        <v>38</v>
      </c>
      <c r="F18" s="4">
        <v>3.151234567E9</v>
      </c>
    </row>
    <row r="19" ht="22.5" customHeight="1">
      <c r="B19" s="2" t="str">
        <f t="shared" si="1"/>
        <v>B017</v>
      </c>
      <c r="C19" s="2" t="s">
        <v>39</v>
      </c>
      <c r="D19" s="3" t="s">
        <v>27</v>
      </c>
      <c r="E19" s="2" t="s">
        <v>40</v>
      </c>
      <c r="F19" s="4">
        <v>3.161234567E9</v>
      </c>
    </row>
    <row r="20" ht="22.5" customHeight="1">
      <c r="B20" s="2" t="str">
        <f t="shared" si="1"/>
        <v>B018</v>
      </c>
      <c r="C20" s="2" t="s">
        <v>41</v>
      </c>
      <c r="D20" s="3" t="s">
        <v>27</v>
      </c>
      <c r="E20" s="2" t="s">
        <v>42</v>
      </c>
      <c r="F20" s="4">
        <v>3.171234567E9</v>
      </c>
    </row>
    <row r="21" ht="22.5" customHeight="1">
      <c r="B21" s="2" t="str">
        <f t="shared" si="1"/>
        <v>B019</v>
      </c>
      <c r="C21" s="2" t="s">
        <v>43</v>
      </c>
      <c r="D21" s="3" t="s">
        <v>27</v>
      </c>
      <c r="E21" s="2" t="s">
        <v>44</v>
      </c>
      <c r="F21" s="4">
        <v>3.181234567E9</v>
      </c>
    </row>
    <row r="22" ht="22.5" customHeight="1">
      <c r="B22" s="2" t="str">
        <f t="shared" si="1"/>
        <v>B020</v>
      </c>
      <c r="C22" s="2" t="s">
        <v>45</v>
      </c>
      <c r="D22" s="3" t="s">
        <v>27</v>
      </c>
      <c r="E22" s="2" t="s">
        <v>46</v>
      </c>
      <c r="F22" s="4">
        <v>3.191234567E9</v>
      </c>
    </row>
    <row r="23" ht="22.5" customHeight="1">
      <c r="B23" s="2" t="str">
        <f t="shared" si="1"/>
        <v>B021</v>
      </c>
      <c r="C23" s="2" t="s">
        <v>47</v>
      </c>
      <c r="D23" s="3" t="s">
        <v>48</v>
      </c>
      <c r="E23" s="2" t="s">
        <v>49</v>
      </c>
      <c r="F23" s="4">
        <v>3.201234567E9</v>
      </c>
    </row>
    <row r="24" ht="22.5" customHeight="1">
      <c r="B24" s="2" t="str">
        <f t="shared" si="1"/>
        <v>B022</v>
      </c>
      <c r="C24" s="2" t="s">
        <v>50</v>
      </c>
      <c r="D24" s="3" t="s">
        <v>48</v>
      </c>
      <c r="E24" s="2" t="s">
        <v>51</v>
      </c>
      <c r="F24" s="4">
        <v>3.211234567E9</v>
      </c>
    </row>
    <row r="25" ht="22.5" customHeight="1">
      <c r="B25" s="2" t="str">
        <f t="shared" si="1"/>
        <v>B023</v>
      </c>
      <c r="C25" s="2" t="s">
        <v>52</v>
      </c>
      <c r="D25" s="3" t="s">
        <v>48</v>
      </c>
      <c r="E25" s="2" t="s">
        <v>53</v>
      </c>
      <c r="F25" s="4">
        <v>3.221234567E9</v>
      </c>
    </row>
    <row r="26" ht="22.5" customHeight="1">
      <c r="B26" s="2" t="str">
        <f t="shared" si="1"/>
        <v>B024</v>
      </c>
      <c r="C26" s="2" t="s">
        <v>54</v>
      </c>
      <c r="D26" s="3" t="s">
        <v>48</v>
      </c>
      <c r="E26" s="2" t="s">
        <v>55</v>
      </c>
      <c r="F26" s="4">
        <v>3.231234567E9</v>
      </c>
    </row>
    <row r="27" ht="22.5" customHeight="1">
      <c r="B27" s="2" t="str">
        <f t="shared" si="1"/>
        <v>B025</v>
      </c>
      <c r="C27" s="2" t="s">
        <v>56</v>
      </c>
      <c r="D27" s="3" t="s">
        <v>48</v>
      </c>
      <c r="E27" s="2" t="s">
        <v>57</v>
      </c>
      <c r="F27" s="4">
        <v>3.241234567E9</v>
      </c>
    </row>
    <row r="28" ht="22.5" customHeight="1">
      <c r="B28" s="2" t="str">
        <f t="shared" si="1"/>
        <v>B026</v>
      </c>
      <c r="C28" s="2" t="s">
        <v>58</v>
      </c>
      <c r="D28" s="3" t="s">
        <v>59</v>
      </c>
      <c r="E28" s="2" t="s">
        <v>60</v>
      </c>
      <c r="F28" s="4">
        <v>3.251234567E9</v>
      </c>
    </row>
    <row r="29" ht="22.5" customHeight="1">
      <c r="B29" s="2" t="str">
        <f t="shared" si="1"/>
        <v>B027</v>
      </c>
      <c r="C29" s="2" t="s">
        <v>12</v>
      </c>
      <c r="D29" s="3" t="s">
        <v>59</v>
      </c>
      <c r="E29" s="2" t="s">
        <v>61</v>
      </c>
      <c r="F29" s="4">
        <v>3.261234567E9</v>
      </c>
    </row>
    <row r="30" ht="22.5" customHeight="1">
      <c r="B30" s="2" t="str">
        <f t="shared" si="1"/>
        <v>B028</v>
      </c>
      <c r="C30" s="2" t="s">
        <v>62</v>
      </c>
      <c r="D30" s="3" t="s">
        <v>59</v>
      </c>
      <c r="E30" s="2" t="s">
        <v>63</v>
      </c>
      <c r="F30" s="4">
        <v>3.271234567E9</v>
      </c>
    </row>
    <row r="31" ht="22.5" customHeight="1">
      <c r="B31" s="2" t="str">
        <f t="shared" si="1"/>
        <v>B029</v>
      </c>
      <c r="C31" s="2" t="s">
        <v>64</v>
      </c>
      <c r="D31" s="3" t="s">
        <v>59</v>
      </c>
      <c r="E31" s="2" t="s">
        <v>65</v>
      </c>
      <c r="F31" s="4">
        <v>3.281234567E9</v>
      </c>
    </row>
    <row r="32" ht="22.5" customHeight="1">
      <c r="B32" s="2" t="str">
        <f t="shared" si="1"/>
        <v>B030</v>
      </c>
      <c r="C32" s="2" t="s">
        <v>66</v>
      </c>
      <c r="D32" s="3" t="s">
        <v>59</v>
      </c>
      <c r="E32" s="2" t="s">
        <v>67</v>
      </c>
      <c r="F32" s="4">
        <v>3.291234567E9</v>
      </c>
    </row>
    <row r="33" ht="22.5" customHeight="1">
      <c r="B33" s="2" t="str">
        <f t="shared" si="1"/>
        <v>B031</v>
      </c>
      <c r="C33" s="2" t="s">
        <v>68</v>
      </c>
      <c r="D33" s="3" t="s">
        <v>69</v>
      </c>
      <c r="E33" s="2" t="s">
        <v>70</v>
      </c>
      <c r="F33" s="4">
        <v>3.301234567E9</v>
      </c>
    </row>
    <row r="34" ht="22.5" customHeight="1">
      <c r="B34" s="2" t="str">
        <f t="shared" si="1"/>
        <v>B032</v>
      </c>
      <c r="C34" s="2" t="s">
        <v>71</v>
      </c>
      <c r="D34" s="3" t="s">
        <v>69</v>
      </c>
      <c r="E34" s="2" t="s">
        <v>72</v>
      </c>
      <c r="F34" s="4">
        <v>3.311234567E9</v>
      </c>
    </row>
    <row r="35" ht="22.5" customHeight="1">
      <c r="B35" s="2" t="str">
        <f t="shared" si="1"/>
        <v>B033</v>
      </c>
      <c r="C35" s="2" t="s">
        <v>73</v>
      </c>
      <c r="D35" s="3" t="s">
        <v>69</v>
      </c>
      <c r="E35" s="2" t="s">
        <v>74</v>
      </c>
      <c r="F35" s="4">
        <v>3.321234567E9</v>
      </c>
    </row>
    <row r="36" ht="22.5" customHeight="1">
      <c r="B36" s="2" t="str">
        <f t="shared" si="1"/>
        <v>B034</v>
      </c>
      <c r="C36" s="2" t="s">
        <v>75</v>
      </c>
      <c r="D36" s="3" t="s">
        <v>69</v>
      </c>
      <c r="E36" s="2" t="s">
        <v>76</v>
      </c>
      <c r="F36" s="4">
        <v>3.331234567E9</v>
      </c>
    </row>
    <row r="37" ht="22.5" customHeight="1">
      <c r="B37" s="2" t="str">
        <f t="shared" si="1"/>
        <v>B035</v>
      </c>
      <c r="C37" s="2" t="s">
        <v>77</v>
      </c>
      <c r="D37" s="3" t="s">
        <v>69</v>
      </c>
      <c r="E37" s="2" t="s">
        <v>78</v>
      </c>
      <c r="F37" s="4">
        <v>3.341234567E9</v>
      </c>
    </row>
    <row r="38" ht="22.5" customHeight="1">
      <c r="B38" s="2" t="str">
        <f t="shared" si="1"/>
        <v>B036</v>
      </c>
      <c r="C38" s="2" t="s">
        <v>26</v>
      </c>
      <c r="D38" s="3" t="s">
        <v>79</v>
      </c>
      <c r="E38" s="2" t="s">
        <v>80</v>
      </c>
      <c r="F38" s="4">
        <v>3.351234567E9</v>
      </c>
    </row>
    <row r="39" ht="22.5" customHeight="1">
      <c r="B39" s="2" t="str">
        <f t="shared" si="1"/>
        <v>B037</v>
      </c>
      <c r="C39" s="2" t="s">
        <v>81</v>
      </c>
      <c r="D39" s="3" t="s">
        <v>79</v>
      </c>
      <c r="E39" s="2" t="s">
        <v>82</v>
      </c>
      <c r="F39" s="4">
        <v>3.361234567E9</v>
      </c>
    </row>
    <row r="40" ht="22.5" customHeight="1">
      <c r="B40" s="2" t="str">
        <f t="shared" si="1"/>
        <v>B038</v>
      </c>
      <c r="C40" s="2" t="s">
        <v>83</v>
      </c>
      <c r="D40" s="3" t="s">
        <v>79</v>
      </c>
      <c r="E40" s="2" t="s">
        <v>84</v>
      </c>
      <c r="F40" s="4">
        <v>3.371234567E9</v>
      </c>
    </row>
    <row r="41" ht="22.5" customHeight="1">
      <c r="B41" s="2" t="str">
        <f t="shared" si="1"/>
        <v>B039</v>
      </c>
      <c r="C41" s="2" t="s">
        <v>85</v>
      </c>
      <c r="D41" s="3" t="s">
        <v>79</v>
      </c>
      <c r="E41" s="2" t="s">
        <v>86</v>
      </c>
      <c r="F41" s="4">
        <v>3.381234567E9</v>
      </c>
    </row>
    <row r="42" ht="22.5" customHeight="1">
      <c r="B42" s="2" t="str">
        <f t="shared" si="1"/>
        <v>B040</v>
      </c>
      <c r="C42" s="2" t="s">
        <v>87</v>
      </c>
      <c r="D42" s="3" t="s">
        <v>79</v>
      </c>
      <c r="E42" s="2" t="s">
        <v>88</v>
      </c>
      <c r="F42" s="4">
        <v>3.391234567E9</v>
      </c>
    </row>
    <row r="43" ht="22.5" customHeight="1">
      <c r="B43" s="2" t="str">
        <f t="shared" si="1"/>
        <v>B041</v>
      </c>
      <c r="C43" s="2" t="s">
        <v>89</v>
      </c>
      <c r="D43" s="3" t="s">
        <v>90</v>
      </c>
      <c r="E43" s="2" t="s">
        <v>91</v>
      </c>
      <c r="F43" s="4">
        <v>3.401234567E9</v>
      </c>
    </row>
    <row r="44" ht="22.5" customHeight="1">
      <c r="B44" s="2" t="str">
        <f t="shared" si="1"/>
        <v>B042</v>
      </c>
      <c r="C44" s="2" t="s">
        <v>12</v>
      </c>
      <c r="D44" s="3" t="s">
        <v>90</v>
      </c>
      <c r="E44" s="2" t="s">
        <v>92</v>
      </c>
      <c r="F44" s="4">
        <v>3.411234567E9</v>
      </c>
    </row>
    <row r="45" ht="22.5" customHeight="1">
      <c r="B45" s="2" t="str">
        <f t="shared" si="1"/>
        <v>B043</v>
      </c>
      <c r="C45" s="2" t="s">
        <v>93</v>
      </c>
      <c r="D45" s="3" t="s">
        <v>90</v>
      </c>
      <c r="E45" s="2" t="s">
        <v>94</v>
      </c>
      <c r="F45" s="4">
        <v>3.421234567E9</v>
      </c>
    </row>
    <row r="46" ht="22.5" customHeight="1">
      <c r="B46" s="2" t="str">
        <f t="shared" si="1"/>
        <v>B044</v>
      </c>
      <c r="C46" s="2" t="s">
        <v>95</v>
      </c>
      <c r="D46" s="3" t="s">
        <v>90</v>
      </c>
      <c r="E46" s="2" t="s">
        <v>96</v>
      </c>
      <c r="F46" s="4">
        <v>3.431234567E9</v>
      </c>
    </row>
    <row r="47" ht="22.5" customHeight="1">
      <c r="B47" s="2" t="str">
        <f t="shared" si="1"/>
        <v>B045</v>
      </c>
      <c r="C47" s="2" t="s">
        <v>97</v>
      </c>
      <c r="D47" s="3" t="s">
        <v>90</v>
      </c>
      <c r="E47" s="2" t="s">
        <v>98</v>
      </c>
      <c r="F47" s="4">
        <v>3.441234567E9</v>
      </c>
    </row>
    <row r="48" ht="22.5" customHeight="1">
      <c r="B48" s="2" t="str">
        <f t="shared" si="1"/>
        <v>B046</v>
      </c>
      <c r="C48" s="2" t="s">
        <v>99</v>
      </c>
      <c r="D48" s="3" t="s">
        <v>100</v>
      </c>
      <c r="E48" s="2" t="s">
        <v>101</v>
      </c>
      <c r="F48" s="4">
        <v>3.451234567E9</v>
      </c>
    </row>
    <row r="49" ht="22.5" customHeight="1">
      <c r="B49" s="2" t="str">
        <f t="shared" si="1"/>
        <v>B047</v>
      </c>
      <c r="C49" s="2" t="s">
        <v>102</v>
      </c>
      <c r="D49" s="3" t="s">
        <v>100</v>
      </c>
      <c r="E49" s="2" t="s">
        <v>103</v>
      </c>
      <c r="F49" s="4">
        <v>3.461234567E9</v>
      </c>
    </row>
    <row r="50" ht="22.5" customHeight="1">
      <c r="B50" s="2" t="str">
        <f t="shared" si="1"/>
        <v>B048</v>
      </c>
      <c r="C50" s="2" t="s">
        <v>104</v>
      </c>
      <c r="D50" s="3" t="s">
        <v>100</v>
      </c>
      <c r="E50" s="2" t="s">
        <v>105</v>
      </c>
      <c r="F50" s="4">
        <v>3.471234567E9</v>
      </c>
    </row>
    <row r="51" ht="22.5" customHeight="1">
      <c r="B51" s="2" t="str">
        <f t="shared" si="1"/>
        <v>B049</v>
      </c>
      <c r="C51" s="2" t="s">
        <v>106</v>
      </c>
      <c r="D51" s="3" t="s">
        <v>100</v>
      </c>
      <c r="E51" s="2" t="s">
        <v>107</v>
      </c>
      <c r="F51" s="4">
        <v>3.481234567E9</v>
      </c>
    </row>
    <row r="52" ht="22.5" customHeight="1">
      <c r="B52" s="2" t="str">
        <f t="shared" si="1"/>
        <v>B050</v>
      </c>
      <c r="C52" s="2" t="s">
        <v>58</v>
      </c>
      <c r="D52" s="3" t="s">
        <v>100</v>
      </c>
      <c r="E52" s="2" t="s">
        <v>108</v>
      </c>
      <c r="F52" s="4">
        <v>3.491234567E9</v>
      </c>
    </row>
  </sheetData>
  <dataValidations>
    <dataValidation type="list" allowBlank="1" showDropDown="1" showErrorMessage="1" sqref="D3:D52">
      <formula1>"Karachi,Lahore,Islamabad,Rawalpindi,Faisalabad,Multan,Peshawar,Quetta"</formula1>
    </dataValidation>
    <dataValidation type="custom" allowBlank="1" showDropDown="1" sqref="F3:F52">
      <formula1>AND(ISNUMBER(F3),(NOT(OR(NOT(ISERROR(DATEVALUE(F3))), AND(ISNUMBER(F3), LEFT(CELL("format", F3))="D")))))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13"/>
    <col customWidth="1" min="3" max="3" width="16.75"/>
    <col customWidth="1" min="7" max="7" width="14.63"/>
    <col customWidth="1" min="8" max="8" width="23.75"/>
    <col customWidth="1" min="9" max="9" width="13.0"/>
  </cols>
  <sheetData>
    <row r="2" ht="22.5" customHeight="1">
      <c r="A2" s="1" t="s">
        <v>109</v>
      </c>
      <c r="B2" s="1" t="s">
        <v>110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0</v>
      </c>
    </row>
    <row r="3" ht="22.5" customHeight="1">
      <c r="A3" s="2" t="str">
        <f t="shared" ref="A3:A52" si="1">"C"&amp;TEXT(ROW(A1),"000")</f>
        <v>C001</v>
      </c>
      <c r="B3" s="2" t="s">
        <v>7</v>
      </c>
      <c r="C3" s="2" t="s">
        <v>117</v>
      </c>
      <c r="D3" s="5">
        <v>36661.0</v>
      </c>
      <c r="E3" s="4">
        <f t="shared" ref="E3:E52" si="2">DATEDIF(D3,TODAY(),"Y")</f>
        <v>26</v>
      </c>
      <c r="F3" s="2" t="s">
        <v>118</v>
      </c>
      <c r="G3" s="4">
        <v>3.001234567E9</v>
      </c>
      <c r="H3" s="2" t="s">
        <v>119</v>
      </c>
      <c r="I3" s="6" t="s">
        <v>120</v>
      </c>
    </row>
    <row r="4" ht="22.5" customHeight="1">
      <c r="A4" s="2" t="str">
        <f t="shared" si="1"/>
        <v>C002</v>
      </c>
      <c r="B4" s="2" t="s">
        <v>9</v>
      </c>
      <c r="C4" s="2" t="s">
        <v>121</v>
      </c>
      <c r="D4" s="5">
        <v>36027.0</v>
      </c>
      <c r="E4" s="4">
        <f t="shared" si="2"/>
        <v>27</v>
      </c>
      <c r="F4" s="2" t="s">
        <v>118</v>
      </c>
      <c r="G4" s="4">
        <v>3.011234567E9</v>
      </c>
      <c r="H4" s="2" t="s">
        <v>122</v>
      </c>
      <c r="I4" s="6" t="s">
        <v>123</v>
      </c>
    </row>
    <row r="5" ht="22.5" customHeight="1">
      <c r="A5" s="2" t="str">
        <f t="shared" si="1"/>
        <v>C003</v>
      </c>
      <c r="B5" s="2" t="s">
        <v>11</v>
      </c>
      <c r="C5" s="2" t="s">
        <v>124</v>
      </c>
      <c r="D5" s="5">
        <v>36229.0</v>
      </c>
      <c r="E5" s="4">
        <f t="shared" si="2"/>
        <v>27</v>
      </c>
      <c r="F5" s="2" t="s">
        <v>118</v>
      </c>
      <c r="G5" s="4">
        <v>3.021234567E9</v>
      </c>
      <c r="H5" s="2" t="s">
        <v>125</v>
      </c>
      <c r="I5" s="6" t="s">
        <v>126</v>
      </c>
    </row>
    <row r="6" ht="22.5" customHeight="1">
      <c r="A6" s="2" t="str">
        <f t="shared" si="1"/>
        <v>C004</v>
      </c>
      <c r="B6" s="2" t="s">
        <v>127</v>
      </c>
      <c r="C6" s="2" t="s">
        <v>128</v>
      </c>
      <c r="D6" s="5">
        <v>37220.0</v>
      </c>
      <c r="E6" s="4">
        <f t="shared" si="2"/>
        <v>24</v>
      </c>
      <c r="F6" s="2" t="s">
        <v>118</v>
      </c>
      <c r="G6" s="4">
        <v>3.031234567E9</v>
      </c>
      <c r="H6" s="2" t="s">
        <v>129</v>
      </c>
      <c r="I6" s="6" t="s">
        <v>130</v>
      </c>
    </row>
    <row r="7" ht="22.5" customHeight="1">
      <c r="A7" s="2" t="str">
        <f t="shared" si="1"/>
        <v>C005</v>
      </c>
      <c r="B7" s="2" t="s">
        <v>131</v>
      </c>
      <c r="C7" s="2" t="s">
        <v>132</v>
      </c>
      <c r="D7" s="5">
        <v>35616.0</v>
      </c>
      <c r="E7" s="4">
        <f t="shared" si="2"/>
        <v>28</v>
      </c>
      <c r="F7" s="2" t="s">
        <v>118</v>
      </c>
      <c r="G7" s="4">
        <v>3.041234567E9</v>
      </c>
      <c r="H7" s="2" t="s">
        <v>133</v>
      </c>
      <c r="I7" s="6" t="s">
        <v>134</v>
      </c>
    </row>
    <row r="8" ht="22.5" customHeight="1">
      <c r="A8" s="2" t="str">
        <f t="shared" si="1"/>
        <v>C006</v>
      </c>
      <c r="B8" s="2" t="s">
        <v>17</v>
      </c>
      <c r="C8" s="2" t="s">
        <v>135</v>
      </c>
      <c r="D8" s="5">
        <v>37517.0</v>
      </c>
      <c r="E8" s="4">
        <f t="shared" si="2"/>
        <v>23</v>
      </c>
      <c r="F8" s="2" t="s">
        <v>118</v>
      </c>
      <c r="G8" s="4">
        <v>3.051234567E9</v>
      </c>
      <c r="H8" s="2" t="s">
        <v>136</v>
      </c>
      <c r="I8" s="6" t="s">
        <v>137</v>
      </c>
    </row>
    <row r="9" ht="22.5" customHeight="1">
      <c r="A9" s="2" t="str">
        <f t="shared" si="1"/>
        <v>C007</v>
      </c>
      <c r="B9" s="2" t="s">
        <v>21</v>
      </c>
      <c r="C9" s="2" t="s">
        <v>138</v>
      </c>
      <c r="D9" s="5">
        <v>36537.0</v>
      </c>
      <c r="E9" s="4">
        <f t="shared" si="2"/>
        <v>26</v>
      </c>
      <c r="F9" s="2" t="s">
        <v>118</v>
      </c>
      <c r="G9" s="4">
        <v>3.061234567E9</v>
      </c>
      <c r="H9" s="2" t="s">
        <v>139</v>
      </c>
      <c r="I9" s="6" t="s">
        <v>140</v>
      </c>
    </row>
    <row r="10" ht="22.5" customHeight="1">
      <c r="A10" s="2" t="str">
        <f t="shared" si="1"/>
        <v>C008</v>
      </c>
      <c r="B10" s="2" t="s">
        <v>141</v>
      </c>
      <c r="C10" s="2" t="s">
        <v>142</v>
      </c>
      <c r="D10" s="5">
        <v>35915.0</v>
      </c>
      <c r="E10" s="4">
        <f t="shared" si="2"/>
        <v>28</v>
      </c>
      <c r="F10" s="2" t="s">
        <v>118</v>
      </c>
      <c r="G10" s="4">
        <v>3.071234567E9</v>
      </c>
      <c r="H10" s="2" t="s">
        <v>143</v>
      </c>
      <c r="I10" s="6" t="s">
        <v>144</v>
      </c>
    </row>
    <row r="11" ht="22.5" customHeight="1">
      <c r="A11" s="2" t="str">
        <f t="shared" si="1"/>
        <v>C009</v>
      </c>
      <c r="B11" s="2" t="s">
        <v>145</v>
      </c>
      <c r="C11" s="2" t="s">
        <v>146</v>
      </c>
      <c r="D11" s="5">
        <v>37247.0</v>
      </c>
      <c r="E11" s="4">
        <f t="shared" si="2"/>
        <v>24</v>
      </c>
      <c r="F11" s="2" t="s">
        <v>118</v>
      </c>
      <c r="G11" s="4">
        <v>3.081234567E9</v>
      </c>
      <c r="H11" s="2" t="s">
        <v>147</v>
      </c>
      <c r="I11" s="6" t="s">
        <v>148</v>
      </c>
    </row>
    <row r="12" ht="22.5" customHeight="1">
      <c r="A12" s="2" t="str">
        <f t="shared" si="1"/>
        <v>C010</v>
      </c>
      <c r="B12" s="2" t="s">
        <v>149</v>
      </c>
      <c r="C12" s="2" t="s">
        <v>150</v>
      </c>
      <c r="D12" s="5">
        <v>36319.0</v>
      </c>
      <c r="E12" s="4">
        <f t="shared" si="2"/>
        <v>27</v>
      </c>
      <c r="F12" s="2" t="s">
        <v>118</v>
      </c>
      <c r="G12" s="4">
        <v>3.091234567E9</v>
      </c>
      <c r="H12" s="2" t="s">
        <v>151</v>
      </c>
      <c r="I12" s="6" t="s">
        <v>152</v>
      </c>
    </row>
    <row r="13" ht="22.5" customHeight="1">
      <c r="A13" s="2" t="str">
        <f t="shared" si="1"/>
        <v>C011</v>
      </c>
      <c r="B13" s="2" t="s">
        <v>30</v>
      </c>
      <c r="C13" s="2" t="s">
        <v>153</v>
      </c>
      <c r="D13" s="5">
        <v>36570.0</v>
      </c>
      <c r="E13" s="4">
        <f t="shared" si="2"/>
        <v>26</v>
      </c>
      <c r="F13" s="2" t="s">
        <v>118</v>
      </c>
      <c r="G13" s="4">
        <v>3.101234567E9</v>
      </c>
      <c r="H13" s="2" t="s">
        <v>154</v>
      </c>
      <c r="I13" s="6" t="s">
        <v>155</v>
      </c>
    </row>
    <row r="14" ht="22.5" customHeight="1">
      <c r="A14" s="2" t="str">
        <f t="shared" si="1"/>
        <v>C012</v>
      </c>
      <c r="B14" s="2" t="s">
        <v>156</v>
      </c>
      <c r="C14" s="2" t="s">
        <v>157</v>
      </c>
      <c r="D14" s="5">
        <v>36077.0</v>
      </c>
      <c r="E14" s="4">
        <f t="shared" si="2"/>
        <v>27</v>
      </c>
      <c r="F14" s="2" t="s">
        <v>118</v>
      </c>
      <c r="G14" s="4">
        <v>3.111234567E9</v>
      </c>
      <c r="H14" s="2" t="s">
        <v>158</v>
      </c>
      <c r="I14" s="6" t="s">
        <v>159</v>
      </c>
    </row>
    <row r="15" ht="22.5" customHeight="1">
      <c r="A15" s="2" t="str">
        <f t="shared" si="1"/>
        <v>C013</v>
      </c>
      <c r="B15" s="2" t="s">
        <v>160</v>
      </c>
      <c r="C15" s="2" t="s">
        <v>161</v>
      </c>
      <c r="D15" s="5">
        <v>37089.0</v>
      </c>
      <c r="E15" s="4">
        <f t="shared" si="2"/>
        <v>24</v>
      </c>
      <c r="F15" s="2" t="s">
        <v>118</v>
      </c>
      <c r="G15" s="4">
        <v>3.121234567E9</v>
      </c>
      <c r="H15" s="2" t="s">
        <v>162</v>
      </c>
      <c r="I15" s="6" t="s">
        <v>163</v>
      </c>
    </row>
    <row r="16" ht="22.5" customHeight="1">
      <c r="A16" s="2" t="str">
        <f t="shared" si="1"/>
        <v>C014</v>
      </c>
      <c r="B16" s="2" t="s">
        <v>34</v>
      </c>
      <c r="C16" s="2" t="s">
        <v>164</v>
      </c>
      <c r="D16" s="5">
        <v>36186.0</v>
      </c>
      <c r="E16" s="4">
        <f t="shared" si="2"/>
        <v>27</v>
      </c>
      <c r="F16" s="2" t="s">
        <v>118</v>
      </c>
      <c r="G16" s="4">
        <v>3.131234567E9</v>
      </c>
      <c r="H16" s="2" t="s">
        <v>165</v>
      </c>
      <c r="I16" s="6" t="s">
        <v>166</v>
      </c>
    </row>
    <row r="17" ht="22.5" customHeight="1">
      <c r="A17" s="2" t="str">
        <f t="shared" si="1"/>
        <v>C015</v>
      </c>
      <c r="B17" s="2" t="s">
        <v>167</v>
      </c>
      <c r="C17" s="2" t="s">
        <v>168</v>
      </c>
      <c r="D17" s="5">
        <v>36841.0</v>
      </c>
      <c r="E17" s="4">
        <f t="shared" si="2"/>
        <v>25</v>
      </c>
      <c r="F17" s="2" t="s">
        <v>118</v>
      </c>
      <c r="G17" s="4">
        <v>3.141234567E9</v>
      </c>
      <c r="H17" s="2" t="s">
        <v>169</v>
      </c>
      <c r="I17" s="6" t="s">
        <v>170</v>
      </c>
    </row>
    <row r="18" ht="22.5" customHeight="1">
      <c r="A18" s="2" t="str">
        <f t="shared" si="1"/>
        <v>C016</v>
      </c>
      <c r="B18" s="2" t="s">
        <v>171</v>
      </c>
      <c r="C18" s="2" t="s">
        <v>172</v>
      </c>
      <c r="D18" s="5">
        <v>37379.0</v>
      </c>
      <c r="E18" s="4">
        <f t="shared" si="2"/>
        <v>24</v>
      </c>
      <c r="F18" s="2" t="s">
        <v>118</v>
      </c>
      <c r="G18" s="4">
        <v>3.151234567E9</v>
      </c>
      <c r="H18" s="2" t="s">
        <v>173</v>
      </c>
      <c r="I18" s="6" t="s">
        <v>174</v>
      </c>
    </row>
    <row r="19" ht="22.5" customHeight="1">
      <c r="A19" s="2" t="str">
        <f t="shared" si="1"/>
        <v>C017</v>
      </c>
      <c r="B19" s="2" t="s">
        <v>175</v>
      </c>
      <c r="C19" s="2" t="s">
        <v>176</v>
      </c>
      <c r="D19" s="5">
        <v>35663.0</v>
      </c>
      <c r="E19" s="4">
        <f t="shared" si="2"/>
        <v>28</v>
      </c>
      <c r="F19" s="2" t="s">
        <v>118</v>
      </c>
      <c r="G19" s="4">
        <v>3.161234567E9</v>
      </c>
      <c r="H19" s="2" t="s">
        <v>177</v>
      </c>
      <c r="I19" s="6" t="s">
        <v>178</v>
      </c>
    </row>
    <row r="20" ht="22.5" customHeight="1">
      <c r="A20" s="2" t="str">
        <f t="shared" si="1"/>
        <v>C018</v>
      </c>
      <c r="B20" s="2" t="s">
        <v>179</v>
      </c>
      <c r="C20" s="2" t="s">
        <v>180</v>
      </c>
      <c r="D20" s="5">
        <v>36963.0</v>
      </c>
      <c r="E20" s="4">
        <f t="shared" si="2"/>
        <v>25</v>
      </c>
      <c r="F20" s="2" t="s">
        <v>118</v>
      </c>
      <c r="G20" s="4">
        <v>3.171234567E9</v>
      </c>
      <c r="H20" s="2" t="s">
        <v>181</v>
      </c>
      <c r="I20" s="6" t="s">
        <v>182</v>
      </c>
    </row>
    <row r="21" ht="22.5" customHeight="1">
      <c r="A21" s="2" t="str">
        <f t="shared" si="1"/>
        <v>C019</v>
      </c>
      <c r="B21" s="2" t="s">
        <v>183</v>
      </c>
      <c r="C21" s="2" t="s">
        <v>184</v>
      </c>
      <c r="D21" s="5">
        <v>36066.0</v>
      </c>
      <c r="E21" s="4">
        <f t="shared" si="2"/>
        <v>27</v>
      </c>
      <c r="F21" s="2" t="s">
        <v>118</v>
      </c>
      <c r="G21" s="4">
        <v>3.181234567E9</v>
      </c>
      <c r="H21" s="2" t="s">
        <v>185</v>
      </c>
      <c r="I21" s="6" t="s">
        <v>186</v>
      </c>
    </row>
    <row r="22" ht="22.5" customHeight="1">
      <c r="A22" s="2" t="str">
        <f t="shared" si="1"/>
        <v>C020</v>
      </c>
      <c r="B22" s="2" t="s">
        <v>187</v>
      </c>
      <c r="C22" s="2" t="s">
        <v>188</v>
      </c>
      <c r="D22" s="5">
        <v>36501.0</v>
      </c>
      <c r="E22" s="4">
        <f t="shared" si="2"/>
        <v>26</v>
      </c>
      <c r="F22" s="2" t="s">
        <v>118</v>
      </c>
      <c r="G22" s="4">
        <v>3.191234567E9</v>
      </c>
      <c r="H22" s="2" t="s">
        <v>189</v>
      </c>
      <c r="I22" s="6" t="s">
        <v>190</v>
      </c>
    </row>
    <row r="23" ht="22.5" customHeight="1">
      <c r="A23" s="2" t="str">
        <f t="shared" si="1"/>
        <v>C021</v>
      </c>
      <c r="B23" s="2" t="s">
        <v>191</v>
      </c>
      <c r="C23" s="2" t="s">
        <v>192</v>
      </c>
      <c r="D23" s="5">
        <v>36696.0</v>
      </c>
      <c r="E23" s="4">
        <f t="shared" si="2"/>
        <v>25</v>
      </c>
      <c r="F23" s="2" t="s">
        <v>118</v>
      </c>
      <c r="G23" s="4">
        <v>3.201234567E9</v>
      </c>
      <c r="H23" s="2" t="s">
        <v>193</v>
      </c>
      <c r="I23" s="6" t="s">
        <v>194</v>
      </c>
    </row>
    <row r="24" ht="22.5" customHeight="1">
      <c r="A24" s="2" t="str">
        <f t="shared" si="1"/>
        <v>C022</v>
      </c>
      <c r="B24" s="2" t="s">
        <v>195</v>
      </c>
      <c r="C24" s="2" t="s">
        <v>196</v>
      </c>
      <c r="D24" s="5">
        <v>35850.0</v>
      </c>
      <c r="E24" s="4">
        <f t="shared" si="2"/>
        <v>28</v>
      </c>
      <c r="F24" s="2" t="s">
        <v>118</v>
      </c>
      <c r="G24" s="4">
        <v>3.211234567E9</v>
      </c>
      <c r="H24" s="2" t="s">
        <v>197</v>
      </c>
      <c r="I24" s="6" t="s">
        <v>198</v>
      </c>
    </row>
    <row r="25" ht="22.5" customHeight="1">
      <c r="A25" s="2" t="str">
        <f t="shared" si="1"/>
        <v>C023</v>
      </c>
      <c r="B25" s="2" t="s">
        <v>199</v>
      </c>
      <c r="C25" s="2" t="s">
        <v>200</v>
      </c>
      <c r="D25" s="5">
        <v>37180.0</v>
      </c>
      <c r="E25" s="4">
        <f t="shared" si="2"/>
        <v>24</v>
      </c>
      <c r="F25" s="2" t="s">
        <v>118</v>
      </c>
      <c r="G25" s="4">
        <v>3.221234567E9</v>
      </c>
      <c r="H25" s="2" t="s">
        <v>201</v>
      </c>
      <c r="I25" s="6" t="s">
        <v>202</v>
      </c>
    </row>
    <row r="26" ht="22.5" customHeight="1">
      <c r="A26" s="2" t="str">
        <f t="shared" si="1"/>
        <v>C024</v>
      </c>
      <c r="B26" s="2" t="s">
        <v>203</v>
      </c>
      <c r="C26" s="2" t="s">
        <v>204</v>
      </c>
      <c r="D26" s="5">
        <v>36279.0</v>
      </c>
      <c r="E26" s="4">
        <f t="shared" si="2"/>
        <v>27</v>
      </c>
      <c r="F26" s="2" t="s">
        <v>118</v>
      </c>
      <c r="G26" s="4">
        <v>3.231234567E9</v>
      </c>
      <c r="H26" s="2" t="s">
        <v>205</v>
      </c>
      <c r="I26" s="6" t="s">
        <v>206</v>
      </c>
    </row>
    <row r="27" ht="22.5" customHeight="1">
      <c r="A27" s="2" t="str">
        <f t="shared" si="1"/>
        <v>C025</v>
      </c>
      <c r="B27" s="2" t="s">
        <v>207</v>
      </c>
      <c r="C27" s="2" t="s">
        <v>208</v>
      </c>
      <c r="D27" s="5">
        <v>36530.0</v>
      </c>
      <c r="E27" s="4">
        <f t="shared" si="2"/>
        <v>26</v>
      </c>
      <c r="F27" s="2" t="s">
        <v>118</v>
      </c>
      <c r="G27" s="4">
        <v>3.241234567E9</v>
      </c>
      <c r="H27" s="2" t="s">
        <v>209</v>
      </c>
      <c r="I27" s="6" t="s">
        <v>210</v>
      </c>
    </row>
    <row r="28" ht="22.5" customHeight="1">
      <c r="A28" s="2" t="str">
        <f t="shared" si="1"/>
        <v>C026</v>
      </c>
      <c r="B28" s="2" t="s">
        <v>60</v>
      </c>
      <c r="C28" s="2" t="s">
        <v>211</v>
      </c>
      <c r="D28" s="5">
        <v>35994.0</v>
      </c>
      <c r="E28" s="4">
        <f t="shared" si="2"/>
        <v>27</v>
      </c>
      <c r="F28" s="2" t="s">
        <v>118</v>
      </c>
      <c r="G28" s="4">
        <v>3.251234567E9</v>
      </c>
      <c r="H28" s="2" t="s">
        <v>212</v>
      </c>
      <c r="I28" s="6" t="s">
        <v>213</v>
      </c>
    </row>
    <row r="29" ht="22.5" customHeight="1">
      <c r="A29" s="2" t="str">
        <f t="shared" si="1"/>
        <v>C027</v>
      </c>
      <c r="B29" s="2" t="s">
        <v>214</v>
      </c>
      <c r="C29" s="2" t="s">
        <v>215</v>
      </c>
      <c r="D29" s="5">
        <v>37217.0</v>
      </c>
      <c r="E29" s="4">
        <f t="shared" si="2"/>
        <v>24</v>
      </c>
      <c r="F29" s="2" t="s">
        <v>118</v>
      </c>
      <c r="G29" s="4">
        <v>3.261234567E9</v>
      </c>
      <c r="H29" s="2" t="s">
        <v>216</v>
      </c>
      <c r="I29" s="6" t="s">
        <v>217</v>
      </c>
    </row>
    <row r="30" ht="22.5" customHeight="1">
      <c r="A30" s="2" t="str">
        <f t="shared" si="1"/>
        <v>C028</v>
      </c>
      <c r="B30" s="2" t="s">
        <v>218</v>
      </c>
      <c r="C30" s="2" t="s">
        <v>219</v>
      </c>
      <c r="D30" s="5">
        <v>36233.0</v>
      </c>
      <c r="E30" s="4">
        <f t="shared" si="2"/>
        <v>27</v>
      </c>
      <c r="F30" s="2" t="s">
        <v>118</v>
      </c>
      <c r="G30" s="4">
        <v>3.271234567E9</v>
      </c>
      <c r="H30" s="2" t="s">
        <v>220</v>
      </c>
      <c r="I30" s="6" t="s">
        <v>221</v>
      </c>
    </row>
    <row r="31" ht="22.5" customHeight="1">
      <c r="A31" s="2" t="str">
        <f t="shared" si="1"/>
        <v>C029</v>
      </c>
      <c r="B31" s="2" t="s">
        <v>65</v>
      </c>
      <c r="C31" s="2" t="s">
        <v>222</v>
      </c>
      <c r="D31" s="5">
        <v>36747.0</v>
      </c>
      <c r="E31" s="4">
        <f t="shared" si="2"/>
        <v>25</v>
      </c>
      <c r="F31" s="2" t="s">
        <v>118</v>
      </c>
      <c r="G31" s="4">
        <v>3.281234567E9</v>
      </c>
      <c r="H31" s="2" t="s">
        <v>223</v>
      </c>
      <c r="I31" s="6" t="s">
        <v>224</v>
      </c>
    </row>
    <row r="32" ht="22.5" customHeight="1">
      <c r="A32" s="2" t="str">
        <f t="shared" si="1"/>
        <v>C030</v>
      </c>
      <c r="B32" s="2" t="s">
        <v>225</v>
      </c>
      <c r="C32" s="2" t="s">
        <v>226</v>
      </c>
      <c r="D32" s="5">
        <v>35795.0</v>
      </c>
      <c r="E32" s="4">
        <f t="shared" si="2"/>
        <v>28</v>
      </c>
      <c r="F32" s="2" t="s">
        <v>118</v>
      </c>
      <c r="G32" s="4">
        <v>3.291234567E9</v>
      </c>
      <c r="H32" s="2" t="s">
        <v>227</v>
      </c>
      <c r="I32" s="6" t="s">
        <v>228</v>
      </c>
    </row>
    <row r="33" ht="22.5" customHeight="1">
      <c r="A33" s="2" t="str">
        <f t="shared" si="1"/>
        <v>C031</v>
      </c>
      <c r="B33" s="2" t="s">
        <v>229</v>
      </c>
      <c r="C33" s="2" t="s">
        <v>230</v>
      </c>
      <c r="D33" s="5">
        <v>37038.0</v>
      </c>
      <c r="E33" s="4">
        <f t="shared" si="2"/>
        <v>25</v>
      </c>
      <c r="F33" s="2" t="s">
        <v>118</v>
      </c>
      <c r="G33" s="4">
        <v>3.301234567E9</v>
      </c>
      <c r="H33" s="2" t="s">
        <v>231</v>
      </c>
      <c r="I33" s="6" t="s">
        <v>232</v>
      </c>
    </row>
    <row r="34" ht="22.5" customHeight="1">
      <c r="A34" s="2" t="str">
        <f t="shared" si="1"/>
        <v>C032</v>
      </c>
      <c r="B34" s="2" t="s">
        <v>72</v>
      </c>
      <c r="C34" s="2" t="s">
        <v>233</v>
      </c>
      <c r="D34" s="5">
        <v>36050.0</v>
      </c>
      <c r="E34" s="4">
        <f t="shared" si="2"/>
        <v>27</v>
      </c>
      <c r="F34" s="2" t="s">
        <v>118</v>
      </c>
      <c r="G34" s="4">
        <v>3.311234567E9</v>
      </c>
      <c r="H34" s="2" t="s">
        <v>234</v>
      </c>
      <c r="I34" s="6" t="s">
        <v>235</v>
      </c>
    </row>
    <row r="35" ht="22.5" customHeight="1">
      <c r="A35" s="2" t="str">
        <f t="shared" si="1"/>
        <v>C033</v>
      </c>
      <c r="B35" s="2" t="s">
        <v>236</v>
      </c>
      <c r="C35" s="2" t="s">
        <v>237</v>
      </c>
      <c r="D35" s="5">
        <v>36620.0</v>
      </c>
      <c r="E35" s="4">
        <f t="shared" si="2"/>
        <v>26</v>
      </c>
      <c r="F35" s="2" t="s">
        <v>118</v>
      </c>
      <c r="G35" s="4">
        <v>3.321234567E9</v>
      </c>
      <c r="H35" s="2" t="s">
        <v>238</v>
      </c>
      <c r="I35" s="6" t="s">
        <v>239</v>
      </c>
    </row>
    <row r="36" ht="22.5" customHeight="1">
      <c r="A36" s="2" t="str">
        <f t="shared" si="1"/>
        <v>C034</v>
      </c>
      <c r="B36" s="2" t="s">
        <v>240</v>
      </c>
      <c r="C36" s="2" t="s">
        <v>241</v>
      </c>
      <c r="D36" s="5">
        <v>36453.0</v>
      </c>
      <c r="E36" s="4">
        <f t="shared" si="2"/>
        <v>26</v>
      </c>
      <c r="F36" s="2" t="s">
        <v>118</v>
      </c>
      <c r="G36" s="4">
        <v>3.331234567E9</v>
      </c>
      <c r="H36" s="2" t="s">
        <v>242</v>
      </c>
      <c r="I36" s="6" t="s">
        <v>243</v>
      </c>
    </row>
    <row r="37" ht="22.5" customHeight="1">
      <c r="A37" s="2" t="str">
        <f t="shared" si="1"/>
        <v>C035</v>
      </c>
      <c r="B37" s="2" t="s">
        <v>78</v>
      </c>
      <c r="C37" s="2" t="s">
        <v>244</v>
      </c>
      <c r="D37" s="5">
        <v>37295.0</v>
      </c>
      <c r="E37" s="4">
        <f t="shared" si="2"/>
        <v>24</v>
      </c>
      <c r="F37" s="2" t="s">
        <v>118</v>
      </c>
      <c r="G37" s="4">
        <v>3.341234567E9</v>
      </c>
      <c r="H37" s="2" t="s">
        <v>245</v>
      </c>
      <c r="I37" s="6" t="s">
        <v>246</v>
      </c>
    </row>
    <row r="38" ht="22.5" customHeight="1">
      <c r="A38" s="2" t="str">
        <f t="shared" si="1"/>
        <v>C036</v>
      </c>
      <c r="B38" s="2" t="s">
        <v>80</v>
      </c>
      <c r="C38" s="2" t="s">
        <v>247</v>
      </c>
      <c r="D38" s="5">
        <v>35961.0</v>
      </c>
      <c r="E38" s="4">
        <f t="shared" si="2"/>
        <v>27</v>
      </c>
      <c r="F38" s="2" t="s">
        <v>118</v>
      </c>
      <c r="G38" s="4">
        <v>3.351234567E9</v>
      </c>
      <c r="H38" s="2" t="s">
        <v>248</v>
      </c>
      <c r="I38" s="6" t="s">
        <v>249</v>
      </c>
    </row>
    <row r="39" ht="22.5" customHeight="1">
      <c r="A39" s="2" t="str">
        <f t="shared" si="1"/>
        <v>C037</v>
      </c>
      <c r="B39" s="2" t="s">
        <v>250</v>
      </c>
      <c r="C39" s="2" t="s">
        <v>251</v>
      </c>
      <c r="D39" s="5">
        <v>37129.0</v>
      </c>
      <c r="E39" s="4">
        <f t="shared" si="2"/>
        <v>24</v>
      </c>
      <c r="F39" s="2" t="s">
        <v>118</v>
      </c>
      <c r="G39" s="4">
        <v>3.361234567E9</v>
      </c>
      <c r="H39" s="2" t="s">
        <v>252</v>
      </c>
      <c r="I39" s="6" t="s">
        <v>253</v>
      </c>
    </row>
    <row r="40" ht="22.5" customHeight="1">
      <c r="A40" s="2" t="str">
        <f t="shared" si="1"/>
        <v>C038</v>
      </c>
      <c r="B40" s="2" t="s">
        <v>254</v>
      </c>
      <c r="C40" s="2" t="s">
        <v>255</v>
      </c>
      <c r="D40" s="5">
        <v>36536.0</v>
      </c>
      <c r="E40" s="4">
        <f t="shared" si="2"/>
        <v>26</v>
      </c>
      <c r="F40" s="2" t="s">
        <v>118</v>
      </c>
      <c r="G40" s="4">
        <v>3.371234567E9</v>
      </c>
      <c r="H40" s="2" t="s">
        <v>256</v>
      </c>
      <c r="I40" s="6" t="s">
        <v>257</v>
      </c>
    </row>
    <row r="41" ht="22.5" customHeight="1">
      <c r="A41" s="2" t="str">
        <f t="shared" si="1"/>
        <v>C039</v>
      </c>
      <c r="B41" s="2" t="s">
        <v>86</v>
      </c>
      <c r="C41" s="2" t="s">
        <v>258</v>
      </c>
      <c r="D41" s="5">
        <v>36364.0</v>
      </c>
      <c r="E41" s="4">
        <f t="shared" si="2"/>
        <v>26</v>
      </c>
      <c r="F41" s="2" t="s">
        <v>118</v>
      </c>
      <c r="G41" s="4">
        <v>3.381234567E9</v>
      </c>
      <c r="H41" s="2" t="s">
        <v>259</v>
      </c>
      <c r="I41" s="6" t="s">
        <v>260</v>
      </c>
    </row>
    <row r="42" ht="22.5" customHeight="1">
      <c r="A42" s="2" t="str">
        <f t="shared" si="1"/>
        <v>C040</v>
      </c>
      <c r="B42" s="2" t="s">
        <v>261</v>
      </c>
      <c r="C42" s="2" t="s">
        <v>262</v>
      </c>
      <c r="D42" s="5">
        <v>37212.0</v>
      </c>
      <c r="E42" s="4">
        <f t="shared" si="2"/>
        <v>24</v>
      </c>
      <c r="F42" s="2" t="s">
        <v>118</v>
      </c>
      <c r="G42" s="4">
        <v>3.391234567E9</v>
      </c>
      <c r="H42" s="2" t="s">
        <v>263</v>
      </c>
      <c r="I42" s="6" t="s">
        <v>264</v>
      </c>
    </row>
    <row r="43" ht="22.5" customHeight="1">
      <c r="A43" s="2" t="str">
        <f t="shared" si="1"/>
        <v>C041</v>
      </c>
      <c r="B43" s="2" t="s">
        <v>265</v>
      </c>
      <c r="C43" s="2" t="s">
        <v>266</v>
      </c>
      <c r="D43" s="5">
        <v>35860.0</v>
      </c>
      <c r="E43" s="4">
        <f t="shared" si="2"/>
        <v>28</v>
      </c>
      <c r="F43" s="2" t="s">
        <v>118</v>
      </c>
      <c r="G43" s="4">
        <v>3.401234567E9</v>
      </c>
      <c r="H43" s="2" t="s">
        <v>267</v>
      </c>
      <c r="I43" s="6" t="s">
        <v>268</v>
      </c>
    </row>
    <row r="44" ht="22.5" customHeight="1">
      <c r="A44" s="2" t="str">
        <f t="shared" si="1"/>
        <v>C042</v>
      </c>
      <c r="B44" s="2" t="s">
        <v>269</v>
      </c>
      <c r="C44" s="2" t="s">
        <v>270</v>
      </c>
      <c r="D44" s="5">
        <v>36674.0</v>
      </c>
      <c r="E44" s="4">
        <f t="shared" si="2"/>
        <v>26</v>
      </c>
      <c r="F44" s="2" t="s">
        <v>118</v>
      </c>
      <c r="G44" s="4">
        <v>3.411234567E9</v>
      </c>
      <c r="H44" s="2" t="s">
        <v>271</v>
      </c>
      <c r="I44" s="6" t="s">
        <v>272</v>
      </c>
    </row>
    <row r="45" ht="22.5" customHeight="1">
      <c r="A45" s="2" t="str">
        <f t="shared" si="1"/>
        <v>C043</v>
      </c>
      <c r="B45" s="2" t="s">
        <v>94</v>
      </c>
      <c r="C45" s="2" t="s">
        <v>273</v>
      </c>
      <c r="D45" s="5">
        <v>36416.0</v>
      </c>
      <c r="E45" s="4">
        <f t="shared" si="2"/>
        <v>26</v>
      </c>
      <c r="F45" s="2" t="s">
        <v>118</v>
      </c>
      <c r="G45" s="4">
        <v>3.421234567E9</v>
      </c>
      <c r="H45" s="2" t="s">
        <v>274</v>
      </c>
      <c r="I45" s="6" t="s">
        <v>275</v>
      </c>
    </row>
    <row r="46" ht="22.5" customHeight="1">
      <c r="A46" s="2" t="str">
        <f t="shared" si="1"/>
        <v>C044</v>
      </c>
      <c r="B46" s="2" t="s">
        <v>276</v>
      </c>
      <c r="C46" s="2" t="s">
        <v>277</v>
      </c>
      <c r="D46" s="5">
        <v>37226.0</v>
      </c>
      <c r="E46" s="4">
        <f t="shared" si="2"/>
        <v>24</v>
      </c>
      <c r="F46" s="2" t="s">
        <v>118</v>
      </c>
      <c r="G46" s="4">
        <v>3.431234567E9</v>
      </c>
      <c r="H46" s="2" t="s">
        <v>278</v>
      </c>
      <c r="I46" s="6" t="s">
        <v>279</v>
      </c>
    </row>
    <row r="47" ht="22.5" customHeight="1">
      <c r="A47" s="2" t="str">
        <f t="shared" si="1"/>
        <v>C045</v>
      </c>
      <c r="B47" s="2" t="s">
        <v>280</v>
      </c>
      <c r="C47" s="2" t="s">
        <v>281</v>
      </c>
      <c r="D47" s="5">
        <v>35903.0</v>
      </c>
      <c r="E47" s="4">
        <f t="shared" si="2"/>
        <v>28</v>
      </c>
      <c r="F47" s="2" t="s">
        <v>118</v>
      </c>
      <c r="G47" s="4">
        <v>3.441234567E9</v>
      </c>
      <c r="H47" s="2" t="s">
        <v>282</v>
      </c>
      <c r="I47" s="6" t="s">
        <v>283</v>
      </c>
    </row>
    <row r="48" ht="22.5" customHeight="1">
      <c r="A48" s="2" t="str">
        <f t="shared" si="1"/>
        <v>C046</v>
      </c>
      <c r="B48" s="2" t="s">
        <v>284</v>
      </c>
      <c r="C48" s="2" t="s">
        <v>285</v>
      </c>
      <c r="D48" s="5">
        <v>36701.0</v>
      </c>
      <c r="E48" s="4">
        <f t="shared" si="2"/>
        <v>25</v>
      </c>
      <c r="F48" s="2" t="s">
        <v>118</v>
      </c>
      <c r="G48" s="4">
        <v>3.451234567E9</v>
      </c>
      <c r="H48" s="2" t="s">
        <v>286</v>
      </c>
      <c r="I48" s="6" t="s">
        <v>287</v>
      </c>
    </row>
    <row r="49" ht="22.5" customHeight="1">
      <c r="A49" s="2" t="str">
        <f t="shared" si="1"/>
        <v>C047</v>
      </c>
      <c r="B49" s="2" t="s">
        <v>103</v>
      </c>
      <c r="C49" s="2" t="s">
        <v>288</v>
      </c>
      <c r="D49" s="5">
        <v>36440.0</v>
      </c>
      <c r="E49" s="4">
        <f t="shared" si="2"/>
        <v>26</v>
      </c>
      <c r="F49" s="2" t="s">
        <v>118</v>
      </c>
      <c r="G49" s="4">
        <v>3.461234567E9</v>
      </c>
      <c r="H49" s="2" t="s">
        <v>289</v>
      </c>
      <c r="I49" s="6" t="s">
        <v>290</v>
      </c>
    </row>
    <row r="50" ht="22.5" customHeight="1">
      <c r="A50" s="2" t="str">
        <f t="shared" si="1"/>
        <v>C048</v>
      </c>
      <c r="B50" s="2" t="s">
        <v>291</v>
      </c>
      <c r="C50" s="2" t="s">
        <v>292</v>
      </c>
      <c r="D50" s="5">
        <v>36938.0</v>
      </c>
      <c r="E50" s="4">
        <f t="shared" si="2"/>
        <v>25</v>
      </c>
      <c r="F50" s="2" t="s">
        <v>118</v>
      </c>
      <c r="G50" s="4">
        <v>3.471234567E9</v>
      </c>
      <c r="H50" s="2" t="s">
        <v>293</v>
      </c>
      <c r="I50" s="6" t="s">
        <v>294</v>
      </c>
    </row>
    <row r="51" ht="22.5" customHeight="1">
      <c r="A51" s="2" t="str">
        <f t="shared" si="1"/>
        <v>C049</v>
      </c>
      <c r="B51" s="2" t="s">
        <v>295</v>
      </c>
      <c r="C51" s="2" t="s">
        <v>296</v>
      </c>
      <c r="D51" s="5">
        <v>36028.0</v>
      </c>
      <c r="E51" s="4">
        <f t="shared" si="2"/>
        <v>27</v>
      </c>
      <c r="F51" s="2" t="s">
        <v>118</v>
      </c>
      <c r="G51" s="4">
        <v>3.481234567E9</v>
      </c>
      <c r="H51" s="2" t="s">
        <v>297</v>
      </c>
      <c r="I51" s="6" t="s">
        <v>298</v>
      </c>
    </row>
    <row r="52" ht="22.5" customHeight="1">
      <c r="A52" s="2" t="str">
        <f t="shared" si="1"/>
        <v>C050</v>
      </c>
      <c r="B52" s="2" t="s">
        <v>108</v>
      </c>
      <c r="C52" s="2" t="s">
        <v>299</v>
      </c>
      <c r="D52" s="5">
        <v>36555.0</v>
      </c>
      <c r="E52" s="4">
        <f t="shared" si="2"/>
        <v>26</v>
      </c>
      <c r="F52" s="2" t="s">
        <v>118</v>
      </c>
      <c r="G52" s="4">
        <v>3.491234567E9</v>
      </c>
      <c r="H52" s="2" t="s">
        <v>300</v>
      </c>
      <c r="I52" s="6" t="s">
        <v>301</v>
      </c>
    </row>
    <row r="53">
      <c r="A53" s="7"/>
      <c r="B53" s="8"/>
    </row>
    <row r="54">
      <c r="A54" s="8"/>
      <c r="B54" s="8"/>
    </row>
    <row r="55">
      <c r="A55" s="8"/>
      <c r="B55" s="8"/>
    </row>
  </sheetData>
  <dataValidations>
    <dataValidation type="list" allowBlank="1" showErrorMessage="1" sqref="I4:I52">
      <formula1>"B001"</formula1>
    </dataValidation>
    <dataValidation type="custom" allowBlank="1" showDropDown="1" sqref="D3:D52">
      <formula1>OR(NOT(ISERROR(DATEVALUE(D3))), AND(ISNUMBER(D3), LEFT(CELL("format", D3))="D"))</formula1>
    </dataValidation>
    <dataValidation type="list" allowBlank="1" showErrorMessage="1" sqref="I3">
      <formula1>"B"</formula1>
    </dataValidation>
    <dataValidation type="custom" allowBlank="1" showDropDown="1" sqref="E3:E52 G3:G52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75"/>
    <col customWidth="1" min="3" max="3" width="13.0"/>
    <col customWidth="1" min="4" max="4" width="15.38"/>
    <col customWidth="1" min="5" max="5" width="18.63"/>
    <col customWidth="1" min="6" max="6" width="18.88"/>
    <col customWidth="1" min="7" max="7" width="17.5"/>
    <col customWidth="1" min="8" max="8" width="20.63"/>
    <col customWidth="1" min="9" max="9" width="16.25"/>
    <col customWidth="1" min="10" max="10" width="15.75"/>
    <col customWidth="1" min="11" max="11" width="14.75"/>
  </cols>
  <sheetData>
    <row r="2" ht="22.5" customHeight="1">
      <c r="A2" s="9" t="s">
        <v>302</v>
      </c>
      <c r="B2" s="9" t="s">
        <v>109</v>
      </c>
      <c r="C2" s="9" t="s">
        <v>0</v>
      </c>
      <c r="D2" s="9" t="s">
        <v>303</v>
      </c>
      <c r="E2" s="9" t="s">
        <v>304</v>
      </c>
      <c r="F2" s="9" t="s">
        <v>305</v>
      </c>
      <c r="G2" s="9" t="s">
        <v>306</v>
      </c>
      <c r="H2" s="9" t="s">
        <v>307</v>
      </c>
      <c r="I2" s="9" t="s">
        <v>308</v>
      </c>
    </row>
    <row r="3" ht="22.5" customHeight="1">
      <c r="A3" s="10" t="s">
        <v>309</v>
      </c>
      <c r="B3" s="10" t="s">
        <v>310</v>
      </c>
      <c r="C3" s="10" t="s">
        <v>120</v>
      </c>
      <c r="D3" s="11" t="str">
        <f t="shared" ref="D3:D52" si="1">IF(E2&gt;=100000,"Premium","Standard")</f>
        <v>Premium</v>
      </c>
      <c r="E3" s="12">
        <v>45292.0</v>
      </c>
      <c r="F3" s="13">
        <v>50000.0</v>
      </c>
      <c r="G3" s="14">
        <v>0.0</v>
      </c>
      <c r="H3" s="15">
        <f t="shared" ref="H3:H52" si="2">F3+G3</f>
        <v>50000</v>
      </c>
      <c r="I3" s="11" t="str">
        <f t="shared" ref="I3:I52" si="3">IF(G2&gt;=100000,"Active","Inactive")</f>
        <v>Active</v>
      </c>
    </row>
    <row r="4" ht="22.5" customHeight="1">
      <c r="A4" s="10" t="s">
        <v>311</v>
      </c>
      <c r="B4" s="10" t="s">
        <v>312</v>
      </c>
      <c r="C4" s="10" t="s">
        <v>123</v>
      </c>
      <c r="D4" s="11" t="str">
        <f t="shared" si="1"/>
        <v>Standard</v>
      </c>
      <c r="E4" s="12">
        <v>45294.0</v>
      </c>
      <c r="F4" s="13">
        <v>75000.0</v>
      </c>
      <c r="G4" s="14">
        <v>0.0</v>
      </c>
      <c r="H4" s="15">
        <f t="shared" si="2"/>
        <v>75000</v>
      </c>
      <c r="I4" s="11" t="str">
        <f t="shared" si="3"/>
        <v>Inactive</v>
      </c>
      <c r="J4" s="16"/>
    </row>
    <row r="5" ht="22.5" customHeight="1">
      <c r="A5" s="10" t="s">
        <v>313</v>
      </c>
      <c r="B5" s="10" t="s">
        <v>314</v>
      </c>
      <c r="C5" s="10" t="s">
        <v>126</v>
      </c>
      <c r="D5" s="11" t="str">
        <f t="shared" si="1"/>
        <v>Standard</v>
      </c>
      <c r="E5" s="12">
        <v>45296.0</v>
      </c>
      <c r="F5" s="13">
        <v>60000.0</v>
      </c>
      <c r="G5" s="14">
        <v>0.0</v>
      </c>
      <c r="H5" s="15">
        <f t="shared" si="2"/>
        <v>60000</v>
      </c>
      <c r="I5" s="11" t="str">
        <f t="shared" si="3"/>
        <v>Inactive</v>
      </c>
    </row>
    <row r="6" ht="22.5" customHeight="1">
      <c r="A6" s="10" t="s">
        <v>315</v>
      </c>
      <c r="B6" s="10" t="s">
        <v>316</v>
      </c>
      <c r="C6" s="10" t="s">
        <v>130</v>
      </c>
      <c r="D6" s="11" t="str">
        <f t="shared" si="1"/>
        <v>Standard</v>
      </c>
      <c r="E6" s="12">
        <v>45298.0</v>
      </c>
      <c r="F6" s="13">
        <v>80000.0</v>
      </c>
      <c r="G6" s="14">
        <v>0.0</v>
      </c>
      <c r="H6" s="15">
        <f t="shared" si="2"/>
        <v>80000</v>
      </c>
      <c r="I6" s="11" t="str">
        <f t="shared" si="3"/>
        <v>Inactive</v>
      </c>
    </row>
    <row r="7" ht="22.5" customHeight="1">
      <c r="A7" s="10" t="s">
        <v>317</v>
      </c>
      <c r="B7" s="10" t="s">
        <v>318</v>
      </c>
      <c r="C7" s="10" t="s">
        <v>134</v>
      </c>
      <c r="D7" s="11" t="str">
        <f t="shared" si="1"/>
        <v>Standard</v>
      </c>
      <c r="E7" s="12">
        <v>45301.0</v>
      </c>
      <c r="F7" s="13">
        <v>45000.0</v>
      </c>
      <c r="G7" s="14">
        <v>0.0</v>
      </c>
      <c r="H7" s="15">
        <f t="shared" si="2"/>
        <v>45000</v>
      </c>
      <c r="I7" s="11" t="str">
        <f t="shared" si="3"/>
        <v>Inactive</v>
      </c>
    </row>
    <row r="8" ht="22.5" customHeight="1">
      <c r="A8" s="10" t="s">
        <v>319</v>
      </c>
      <c r="B8" s="10" t="s">
        <v>320</v>
      </c>
      <c r="C8" s="10" t="s">
        <v>137</v>
      </c>
      <c r="D8" s="11" t="str">
        <f t="shared" si="1"/>
        <v>Standard</v>
      </c>
      <c r="E8" s="12">
        <v>45303.0</v>
      </c>
      <c r="F8" s="13">
        <v>90000.0</v>
      </c>
      <c r="G8" s="14">
        <v>0.0</v>
      </c>
      <c r="H8" s="15">
        <f t="shared" si="2"/>
        <v>90000</v>
      </c>
      <c r="I8" s="11" t="str">
        <f t="shared" si="3"/>
        <v>Inactive</v>
      </c>
    </row>
    <row r="9" ht="22.5" customHeight="1">
      <c r="A9" s="10" t="s">
        <v>321</v>
      </c>
      <c r="B9" s="10" t="s">
        <v>322</v>
      </c>
      <c r="C9" s="10" t="s">
        <v>140</v>
      </c>
      <c r="D9" s="11" t="str">
        <f t="shared" si="1"/>
        <v>Standard</v>
      </c>
      <c r="E9" s="12">
        <v>45306.0</v>
      </c>
      <c r="F9" s="13">
        <v>55000.0</v>
      </c>
      <c r="G9" s="14">
        <v>0.0</v>
      </c>
      <c r="H9" s="15">
        <f t="shared" si="2"/>
        <v>55000</v>
      </c>
      <c r="I9" s="11" t="str">
        <f t="shared" si="3"/>
        <v>Inactive</v>
      </c>
    </row>
    <row r="10" ht="22.5" customHeight="1">
      <c r="A10" s="10" t="s">
        <v>323</v>
      </c>
      <c r="B10" s="10" t="s">
        <v>324</v>
      </c>
      <c r="C10" s="10" t="s">
        <v>144</v>
      </c>
      <c r="D10" s="11" t="str">
        <f t="shared" si="1"/>
        <v>Standard</v>
      </c>
      <c r="E10" s="12">
        <v>45309.0</v>
      </c>
      <c r="F10" s="13">
        <v>100000.0</v>
      </c>
      <c r="G10" s="14">
        <v>0.0</v>
      </c>
      <c r="H10" s="15">
        <f t="shared" si="2"/>
        <v>100000</v>
      </c>
      <c r="I10" s="11" t="str">
        <f t="shared" si="3"/>
        <v>Inactive</v>
      </c>
    </row>
    <row r="11" ht="22.5" customHeight="1">
      <c r="A11" s="10" t="s">
        <v>325</v>
      </c>
      <c r="B11" s="10" t="s">
        <v>326</v>
      </c>
      <c r="C11" s="10" t="s">
        <v>148</v>
      </c>
      <c r="D11" s="11" t="str">
        <f t="shared" si="1"/>
        <v>Standard</v>
      </c>
      <c r="E11" s="12">
        <v>45311.0</v>
      </c>
      <c r="F11" s="13">
        <v>65000.0</v>
      </c>
      <c r="G11" s="14">
        <v>0.0</v>
      </c>
      <c r="H11" s="15">
        <f t="shared" si="2"/>
        <v>65000</v>
      </c>
      <c r="I11" s="11" t="str">
        <f t="shared" si="3"/>
        <v>Inactive</v>
      </c>
    </row>
    <row r="12" ht="22.5" customHeight="1">
      <c r="A12" s="10" t="s">
        <v>327</v>
      </c>
      <c r="B12" s="10" t="s">
        <v>328</v>
      </c>
      <c r="C12" s="10" t="s">
        <v>152</v>
      </c>
      <c r="D12" s="11" t="str">
        <f t="shared" si="1"/>
        <v>Standard</v>
      </c>
      <c r="E12" s="12">
        <v>45313.0</v>
      </c>
      <c r="F12" s="13">
        <v>85000.0</v>
      </c>
      <c r="G12" s="14">
        <v>0.0</v>
      </c>
      <c r="H12" s="15">
        <f t="shared" si="2"/>
        <v>85000</v>
      </c>
      <c r="I12" s="11" t="str">
        <f t="shared" si="3"/>
        <v>Inactive</v>
      </c>
    </row>
    <row r="13" ht="22.5" customHeight="1">
      <c r="A13" s="10" t="s">
        <v>329</v>
      </c>
      <c r="B13" s="10" t="s">
        <v>330</v>
      </c>
      <c r="C13" s="10" t="s">
        <v>155</v>
      </c>
      <c r="D13" s="11" t="str">
        <f t="shared" si="1"/>
        <v>Standard</v>
      </c>
      <c r="E13" s="12">
        <v>45314.0</v>
      </c>
      <c r="F13" s="13">
        <v>105000.0</v>
      </c>
      <c r="G13" s="14">
        <v>0.0</v>
      </c>
      <c r="H13" s="15">
        <f t="shared" si="2"/>
        <v>105000</v>
      </c>
      <c r="I13" s="11" t="str">
        <f t="shared" si="3"/>
        <v>Inactive</v>
      </c>
    </row>
    <row r="14" ht="22.5" customHeight="1">
      <c r="A14" s="10" t="s">
        <v>331</v>
      </c>
      <c r="B14" s="10" t="s">
        <v>332</v>
      </c>
      <c r="C14" s="10" t="s">
        <v>159</v>
      </c>
      <c r="D14" s="11" t="str">
        <f t="shared" si="1"/>
        <v>Standard</v>
      </c>
      <c r="E14" s="12">
        <v>45315.0</v>
      </c>
      <c r="F14" s="13">
        <v>125000.0</v>
      </c>
      <c r="G14" s="14">
        <v>0.0</v>
      </c>
      <c r="H14" s="15">
        <f t="shared" si="2"/>
        <v>125000</v>
      </c>
      <c r="I14" s="11" t="str">
        <f t="shared" si="3"/>
        <v>Inactive</v>
      </c>
    </row>
    <row r="15" ht="22.5" customHeight="1">
      <c r="A15" s="10" t="s">
        <v>333</v>
      </c>
      <c r="B15" s="10" t="s">
        <v>334</v>
      </c>
      <c r="C15" s="10" t="s">
        <v>163</v>
      </c>
      <c r="D15" s="11" t="str">
        <f t="shared" si="1"/>
        <v>Standard</v>
      </c>
      <c r="E15" s="12">
        <v>45316.0</v>
      </c>
      <c r="F15" s="13">
        <v>145000.0</v>
      </c>
      <c r="G15" s="14">
        <v>0.0</v>
      </c>
      <c r="H15" s="15">
        <f t="shared" si="2"/>
        <v>145000</v>
      </c>
      <c r="I15" s="11" t="str">
        <f t="shared" si="3"/>
        <v>Inactive</v>
      </c>
    </row>
    <row r="16" ht="22.5" customHeight="1">
      <c r="A16" s="10" t="s">
        <v>335</v>
      </c>
      <c r="B16" s="10" t="s">
        <v>336</v>
      </c>
      <c r="C16" s="10" t="s">
        <v>166</v>
      </c>
      <c r="D16" s="11" t="str">
        <f t="shared" si="1"/>
        <v>Standard</v>
      </c>
      <c r="E16" s="12">
        <v>45317.0</v>
      </c>
      <c r="F16" s="13">
        <v>165000.0</v>
      </c>
      <c r="G16" s="14">
        <v>0.0</v>
      </c>
      <c r="H16" s="15">
        <f t="shared" si="2"/>
        <v>165000</v>
      </c>
      <c r="I16" s="11" t="str">
        <f t="shared" si="3"/>
        <v>Inactive</v>
      </c>
    </row>
    <row r="17" ht="22.5" customHeight="1">
      <c r="A17" s="10" t="s">
        <v>337</v>
      </c>
      <c r="B17" s="10" t="s">
        <v>338</v>
      </c>
      <c r="C17" s="10" t="s">
        <v>170</v>
      </c>
      <c r="D17" s="11" t="str">
        <f t="shared" si="1"/>
        <v>Standard</v>
      </c>
      <c r="E17" s="12">
        <v>45318.0</v>
      </c>
      <c r="F17" s="13">
        <v>185000.0</v>
      </c>
      <c r="G17" s="14">
        <v>0.0</v>
      </c>
      <c r="H17" s="15">
        <f t="shared" si="2"/>
        <v>185000</v>
      </c>
      <c r="I17" s="11" t="str">
        <f t="shared" si="3"/>
        <v>Inactive</v>
      </c>
    </row>
    <row r="18" ht="22.5" customHeight="1">
      <c r="A18" s="10" t="s">
        <v>339</v>
      </c>
      <c r="B18" s="10" t="s">
        <v>340</v>
      </c>
      <c r="C18" s="10" t="s">
        <v>174</v>
      </c>
      <c r="D18" s="11" t="str">
        <f t="shared" si="1"/>
        <v>Standard</v>
      </c>
      <c r="E18" s="12">
        <v>45319.0</v>
      </c>
      <c r="F18" s="13">
        <v>205000.0</v>
      </c>
      <c r="G18" s="14">
        <v>0.0</v>
      </c>
      <c r="H18" s="15">
        <f t="shared" si="2"/>
        <v>205000</v>
      </c>
      <c r="I18" s="11" t="str">
        <f t="shared" si="3"/>
        <v>Inactive</v>
      </c>
    </row>
    <row r="19" ht="22.5" customHeight="1">
      <c r="A19" s="10" t="s">
        <v>341</v>
      </c>
      <c r="B19" s="10" t="s">
        <v>342</v>
      </c>
      <c r="C19" s="10" t="s">
        <v>178</v>
      </c>
      <c r="D19" s="11" t="str">
        <f t="shared" si="1"/>
        <v>Standard</v>
      </c>
      <c r="E19" s="12">
        <v>45320.0</v>
      </c>
      <c r="F19" s="13">
        <v>225000.0</v>
      </c>
      <c r="G19" s="14">
        <v>0.0</v>
      </c>
      <c r="H19" s="15">
        <f t="shared" si="2"/>
        <v>225000</v>
      </c>
      <c r="I19" s="11" t="str">
        <f t="shared" si="3"/>
        <v>Inactive</v>
      </c>
    </row>
    <row r="20" ht="22.5" customHeight="1">
      <c r="A20" s="10" t="s">
        <v>343</v>
      </c>
      <c r="B20" s="10" t="s">
        <v>344</v>
      </c>
      <c r="C20" s="10" t="s">
        <v>182</v>
      </c>
      <c r="D20" s="11" t="str">
        <f t="shared" si="1"/>
        <v>Standard</v>
      </c>
      <c r="E20" s="12">
        <v>45321.0</v>
      </c>
      <c r="F20" s="13">
        <v>245000.0</v>
      </c>
      <c r="G20" s="14">
        <v>0.0</v>
      </c>
      <c r="H20" s="15">
        <f t="shared" si="2"/>
        <v>245000</v>
      </c>
      <c r="I20" s="11" t="str">
        <f t="shared" si="3"/>
        <v>Inactive</v>
      </c>
    </row>
    <row r="21" ht="22.5" customHeight="1">
      <c r="A21" s="10" t="s">
        <v>345</v>
      </c>
      <c r="B21" s="10" t="s">
        <v>346</v>
      </c>
      <c r="C21" s="10" t="s">
        <v>186</v>
      </c>
      <c r="D21" s="11" t="str">
        <f t="shared" si="1"/>
        <v>Standard</v>
      </c>
      <c r="E21" s="12">
        <v>45322.0</v>
      </c>
      <c r="F21" s="13">
        <v>265000.0</v>
      </c>
      <c r="G21" s="14">
        <v>0.0</v>
      </c>
      <c r="H21" s="15">
        <f t="shared" si="2"/>
        <v>265000</v>
      </c>
      <c r="I21" s="11" t="str">
        <f t="shared" si="3"/>
        <v>Inactive</v>
      </c>
    </row>
    <row r="22" ht="22.5" customHeight="1">
      <c r="A22" s="10" t="s">
        <v>347</v>
      </c>
      <c r="B22" s="10" t="s">
        <v>348</v>
      </c>
      <c r="C22" s="10" t="s">
        <v>190</v>
      </c>
      <c r="D22" s="11" t="str">
        <f t="shared" si="1"/>
        <v>Standard</v>
      </c>
      <c r="E22" s="12">
        <v>45323.0</v>
      </c>
      <c r="F22" s="13">
        <v>285000.0</v>
      </c>
      <c r="G22" s="14">
        <v>0.0</v>
      </c>
      <c r="H22" s="15">
        <f t="shared" si="2"/>
        <v>285000</v>
      </c>
      <c r="I22" s="11" t="str">
        <f t="shared" si="3"/>
        <v>Inactive</v>
      </c>
    </row>
    <row r="23" ht="22.5" customHeight="1">
      <c r="A23" s="10" t="s">
        <v>349</v>
      </c>
      <c r="B23" s="10" t="s">
        <v>350</v>
      </c>
      <c r="C23" s="10" t="s">
        <v>194</v>
      </c>
      <c r="D23" s="11" t="str">
        <f t="shared" si="1"/>
        <v>Standard</v>
      </c>
      <c r="E23" s="12">
        <v>45324.0</v>
      </c>
      <c r="F23" s="13">
        <v>305000.0</v>
      </c>
      <c r="G23" s="14">
        <v>0.0</v>
      </c>
      <c r="H23" s="15">
        <f t="shared" si="2"/>
        <v>305000</v>
      </c>
      <c r="I23" s="11" t="str">
        <f t="shared" si="3"/>
        <v>Inactive</v>
      </c>
    </row>
    <row r="24" ht="22.5" customHeight="1">
      <c r="A24" s="10" t="s">
        <v>351</v>
      </c>
      <c r="B24" s="10" t="s">
        <v>352</v>
      </c>
      <c r="C24" s="10" t="s">
        <v>198</v>
      </c>
      <c r="D24" s="11" t="str">
        <f t="shared" si="1"/>
        <v>Standard</v>
      </c>
      <c r="E24" s="12">
        <v>45325.0</v>
      </c>
      <c r="F24" s="13">
        <v>325000.0</v>
      </c>
      <c r="G24" s="14">
        <v>0.0</v>
      </c>
      <c r="H24" s="15">
        <f t="shared" si="2"/>
        <v>325000</v>
      </c>
      <c r="I24" s="11" t="str">
        <f t="shared" si="3"/>
        <v>Inactive</v>
      </c>
    </row>
    <row r="25" ht="22.5" customHeight="1">
      <c r="A25" s="10" t="s">
        <v>353</v>
      </c>
      <c r="B25" s="10" t="s">
        <v>354</v>
      </c>
      <c r="C25" s="10" t="s">
        <v>202</v>
      </c>
      <c r="D25" s="11" t="str">
        <f t="shared" si="1"/>
        <v>Standard</v>
      </c>
      <c r="E25" s="12">
        <v>45326.0</v>
      </c>
      <c r="F25" s="13">
        <v>345000.0</v>
      </c>
      <c r="G25" s="14">
        <v>0.0</v>
      </c>
      <c r="H25" s="15">
        <f t="shared" si="2"/>
        <v>345000</v>
      </c>
      <c r="I25" s="11" t="str">
        <f t="shared" si="3"/>
        <v>Inactive</v>
      </c>
    </row>
    <row r="26" ht="22.5" customHeight="1">
      <c r="A26" s="10" t="s">
        <v>355</v>
      </c>
      <c r="B26" s="10" t="s">
        <v>356</v>
      </c>
      <c r="C26" s="10" t="s">
        <v>206</v>
      </c>
      <c r="D26" s="11" t="str">
        <f t="shared" si="1"/>
        <v>Standard</v>
      </c>
      <c r="E26" s="12">
        <v>45327.0</v>
      </c>
      <c r="F26" s="13">
        <v>365000.0</v>
      </c>
      <c r="G26" s="14">
        <v>0.0</v>
      </c>
      <c r="H26" s="15">
        <f t="shared" si="2"/>
        <v>365000</v>
      </c>
      <c r="I26" s="11" t="str">
        <f t="shared" si="3"/>
        <v>Inactive</v>
      </c>
    </row>
    <row r="27" ht="22.5" customHeight="1">
      <c r="A27" s="10" t="s">
        <v>357</v>
      </c>
      <c r="B27" s="10" t="s">
        <v>358</v>
      </c>
      <c r="C27" s="10" t="s">
        <v>210</v>
      </c>
      <c r="D27" s="11" t="str">
        <f t="shared" si="1"/>
        <v>Standard</v>
      </c>
      <c r="E27" s="12">
        <v>45328.0</v>
      </c>
      <c r="F27" s="13">
        <v>385000.0</v>
      </c>
      <c r="G27" s="14">
        <v>0.0</v>
      </c>
      <c r="H27" s="15">
        <f t="shared" si="2"/>
        <v>385000</v>
      </c>
      <c r="I27" s="11" t="str">
        <f t="shared" si="3"/>
        <v>Inactive</v>
      </c>
    </row>
    <row r="28" ht="22.5" customHeight="1">
      <c r="A28" s="10" t="s">
        <v>359</v>
      </c>
      <c r="B28" s="10" t="s">
        <v>360</v>
      </c>
      <c r="C28" s="10" t="s">
        <v>213</v>
      </c>
      <c r="D28" s="11" t="str">
        <f t="shared" si="1"/>
        <v>Standard</v>
      </c>
      <c r="E28" s="12">
        <v>45329.0</v>
      </c>
      <c r="F28" s="13">
        <v>405000.0</v>
      </c>
      <c r="G28" s="14">
        <v>0.0</v>
      </c>
      <c r="H28" s="15">
        <f t="shared" si="2"/>
        <v>405000</v>
      </c>
      <c r="I28" s="11" t="str">
        <f t="shared" si="3"/>
        <v>Inactive</v>
      </c>
    </row>
    <row r="29" ht="22.5" customHeight="1">
      <c r="A29" s="10" t="s">
        <v>361</v>
      </c>
      <c r="B29" s="10" t="s">
        <v>362</v>
      </c>
      <c r="C29" s="10" t="s">
        <v>217</v>
      </c>
      <c r="D29" s="11" t="str">
        <f t="shared" si="1"/>
        <v>Standard</v>
      </c>
      <c r="E29" s="12">
        <v>45330.0</v>
      </c>
      <c r="F29" s="13">
        <v>425000.0</v>
      </c>
      <c r="G29" s="14">
        <v>0.0</v>
      </c>
      <c r="H29" s="15">
        <f t="shared" si="2"/>
        <v>425000</v>
      </c>
      <c r="I29" s="11" t="str">
        <f t="shared" si="3"/>
        <v>Inactive</v>
      </c>
    </row>
    <row r="30" ht="22.5" customHeight="1">
      <c r="A30" s="10" t="s">
        <v>363</v>
      </c>
      <c r="B30" s="10" t="s">
        <v>364</v>
      </c>
      <c r="C30" s="10" t="s">
        <v>221</v>
      </c>
      <c r="D30" s="11" t="str">
        <f t="shared" si="1"/>
        <v>Standard</v>
      </c>
      <c r="E30" s="12">
        <v>45331.0</v>
      </c>
      <c r="F30" s="13">
        <v>445000.0</v>
      </c>
      <c r="G30" s="14">
        <v>0.0</v>
      </c>
      <c r="H30" s="15">
        <f t="shared" si="2"/>
        <v>445000</v>
      </c>
      <c r="I30" s="11" t="str">
        <f t="shared" si="3"/>
        <v>Inactive</v>
      </c>
    </row>
    <row r="31" ht="22.5" customHeight="1">
      <c r="A31" s="10" t="s">
        <v>365</v>
      </c>
      <c r="B31" s="10" t="s">
        <v>366</v>
      </c>
      <c r="C31" s="10" t="s">
        <v>224</v>
      </c>
      <c r="D31" s="11" t="str">
        <f t="shared" si="1"/>
        <v>Standard</v>
      </c>
      <c r="E31" s="12">
        <v>45332.0</v>
      </c>
      <c r="F31" s="13">
        <v>465000.0</v>
      </c>
      <c r="G31" s="14">
        <v>0.0</v>
      </c>
      <c r="H31" s="15">
        <f t="shared" si="2"/>
        <v>465000</v>
      </c>
      <c r="I31" s="11" t="str">
        <f t="shared" si="3"/>
        <v>Inactive</v>
      </c>
    </row>
    <row r="32" ht="22.5" customHeight="1">
      <c r="A32" s="10" t="s">
        <v>367</v>
      </c>
      <c r="B32" s="10" t="s">
        <v>368</v>
      </c>
      <c r="C32" s="10" t="s">
        <v>228</v>
      </c>
      <c r="D32" s="11" t="str">
        <f t="shared" si="1"/>
        <v>Standard</v>
      </c>
      <c r="E32" s="12">
        <v>45333.0</v>
      </c>
      <c r="F32" s="13">
        <v>485000.0</v>
      </c>
      <c r="G32" s="14">
        <v>0.0</v>
      </c>
      <c r="H32" s="15">
        <f t="shared" si="2"/>
        <v>485000</v>
      </c>
      <c r="I32" s="11" t="str">
        <f t="shared" si="3"/>
        <v>Inactive</v>
      </c>
    </row>
    <row r="33" ht="22.5" customHeight="1">
      <c r="A33" s="10" t="s">
        <v>369</v>
      </c>
      <c r="B33" s="10" t="s">
        <v>370</v>
      </c>
      <c r="C33" s="10" t="s">
        <v>232</v>
      </c>
      <c r="D33" s="11" t="str">
        <f t="shared" si="1"/>
        <v>Standard</v>
      </c>
      <c r="E33" s="12">
        <v>45334.0</v>
      </c>
      <c r="F33" s="13">
        <v>505000.0</v>
      </c>
      <c r="G33" s="14">
        <v>0.0</v>
      </c>
      <c r="H33" s="15">
        <f t="shared" si="2"/>
        <v>505000</v>
      </c>
      <c r="I33" s="11" t="str">
        <f t="shared" si="3"/>
        <v>Inactive</v>
      </c>
    </row>
    <row r="34" ht="22.5" customHeight="1">
      <c r="A34" s="10" t="s">
        <v>371</v>
      </c>
      <c r="B34" s="10" t="s">
        <v>372</v>
      </c>
      <c r="C34" s="10" t="s">
        <v>235</v>
      </c>
      <c r="D34" s="11" t="str">
        <f t="shared" si="1"/>
        <v>Standard</v>
      </c>
      <c r="E34" s="12">
        <v>45335.0</v>
      </c>
      <c r="F34" s="13">
        <v>525000.0</v>
      </c>
      <c r="G34" s="14">
        <v>0.0</v>
      </c>
      <c r="H34" s="15">
        <f t="shared" si="2"/>
        <v>525000</v>
      </c>
      <c r="I34" s="11" t="str">
        <f t="shared" si="3"/>
        <v>Inactive</v>
      </c>
    </row>
    <row r="35" ht="22.5" customHeight="1">
      <c r="A35" s="10" t="s">
        <v>373</v>
      </c>
      <c r="B35" s="10" t="s">
        <v>374</v>
      </c>
      <c r="C35" s="10" t="s">
        <v>239</v>
      </c>
      <c r="D35" s="11" t="str">
        <f t="shared" si="1"/>
        <v>Standard</v>
      </c>
      <c r="E35" s="12">
        <v>45336.0</v>
      </c>
      <c r="F35" s="13">
        <v>545000.0</v>
      </c>
      <c r="G35" s="14">
        <v>0.0</v>
      </c>
      <c r="H35" s="15">
        <f t="shared" si="2"/>
        <v>545000</v>
      </c>
      <c r="I35" s="11" t="str">
        <f t="shared" si="3"/>
        <v>Inactive</v>
      </c>
    </row>
    <row r="36" ht="22.5" customHeight="1">
      <c r="A36" s="10" t="s">
        <v>375</v>
      </c>
      <c r="B36" s="10" t="s">
        <v>376</v>
      </c>
      <c r="C36" s="10" t="s">
        <v>243</v>
      </c>
      <c r="D36" s="11" t="str">
        <f t="shared" si="1"/>
        <v>Standard</v>
      </c>
      <c r="E36" s="12">
        <v>45337.0</v>
      </c>
      <c r="F36" s="13">
        <v>565000.0</v>
      </c>
      <c r="G36" s="14">
        <v>0.0</v>
      </c>
      <c r="H36" s="15">
        <f t="shared" si="2"/>
        <v>565000</v>
      </c>
      <c r="I36" s="11" t="str">
        <f t="shared" si="3"/>
        <v>Inactive</v>
      </c>
    </row>
    <row r="37" ht="22.5" customHeight="1">
      <c r="A37" s="10" t="s">
        <v>377</v>
      </c>
      <c r="B37" s="10" t="s">
        <v>378</v>
      </c>
      <c r="C37" s="10" t="s">
        <v>246</v>
      </c>
      <c r="D37" s="11" t="str">
        <f t="shared" si="1"/>
        <v>Standard</v>
      </c>
      <c r="E37" s="12">
        <v>45338.0</v>
      </c>
      <c r="F37" s="13">
        <v>585000.0</v>
      </c>
      <c r="G37" s="14">
        <v>0.0</v>
      </c>
      <c r="H37" s="15">
        <f t="shared" si="2"/>
        <v>585000</v>
      </c>
      <c r="I37" s="11" t="str">
        <f t="shared" si="3"/>
        <v>Inactive</v>
      </c>
    </row>
    <row r="38" ht="22.5" customHeight="1">
      <c r="A38" s="10" t="s">
        <v>379</v>
      </c>
      <c r="B38" s="10" t="s">
        <v>380</v>
      </c>
      <c r="C38" s="10" t="s">
        <v>249</v>
      </c>
      <c r="D38" s="11" t="str">
        <f t="shared" si="1"/>
        <v>Standard</v>
      </c>
      <c r="E38" s="12">
        <v>45339.0</v>
      </c>
      <c r="F38" s="13">
        <v>605000.0</v>
      </c>
      <c r="G38" s="14">
        <v>0.0</v>
      </c>
      <c r="H38" s="15">
        <f t="shared" si="2"/>
        <v>605000</v>
      </c>
      <c r="I38" s="11" t="str">
        <f t="shared" si="3"/>
        <v>Inactive</v>
      </c>
    </row>
    <row r="39" ht="22.5" customHeight="1">
      <c r="A39" s="10" t="s">
        <v>381</v>
      </c>
      <c r="B39" s="10" t="s">
        <v>382</v>
      </c>
      <c r="C39" s="10" t="s">
        <v>253</v>
      </c>
      <c r="D39" s="11" t="str">
        <f t="shared" si="1"/>
        <v>Standard</v>
      </c>
      <c r="E39" s="12">
        <v>45340.0</v>
      </c>
      <c r="F39" s="13">
        <v>625000.0</v>
      </c>
      <c r="G39" s="14">
        <v>0.0</v>
      </c>
      <c r="H39" s="15">
        <f t="shared" si="2"/>
        <v>625000</v>
      </c>
      <c r="I39" s="11" t="str">
        <f t="shared" si="3"/>
        <v>Inactive</v>
      </c>
    </row>
    <row r="40" ht="22.5" customHeight="1">
      <c r="A40" s="10" t="s">
        <v>383</v>
      </c>
      <c r="B40" s="10" t="s">
        <v>384</v>
      </c>
      <c r="C40" s="10" t="s">
        <v>257</v>
      </c>
      <c r="D40" s="11" t="str">
        <f t="shared" si="1"/>
        <v>Standard</v>
      </c>
      <c r="E40" s="12">
        <v>45341.0</v>
      </c>
      <c r="F40" s="13">
        <v>645000.0</v>
      </c>
      <c r="G40" s="14">
        <v>0.0</v>
      </c>
      <c r="H40" s="15">
        <f t="shared" si="2"/>
        <v>645000</v>
      </c>
      <c r="I40" s="11" t="str">
        <f t="shared" si="3"/>
        <v>Inactive</v>
      </c>
    </row>
    <row r="41" ht="22.5" customHeight="1">
      <c r="A41" s="10" t="s">
        <v>385</v>
      </c>
      <c r="B41" s="10" t="s">
        <v>386</v>
      </c>
      <c r="C41" s="10" t="s">
        <v>260</v>
      </c>
      <c r="D41" s="11" t="str">
        <f t="shared" si="1"/>
        <v>Standard</v>
      </c>
      <c r="E41" s="12">
        <v>45342.0</v>
      </c>
      <c r="F41" s="13">
        <v>665000.0</v>
      </c>
      <c r="G41" s="14">
        <v>0.0</v>
      </c>
      <c r="H41" s="15">
        <f t="shared" si="2"/>
        <v>665000</v>
      </c>
      <c r="I41" s="11" t="str">
        <f t="shared" si="3"/>
        <v>Inactive</v>
      </c>
    </row>
    <row r="42" ht="22.5" customHeight="1">
      <c r="A42" s="10" t="s">
        <v>387</v>
      </c>
      <c r="B42" s="10" t="s">
        <v>388</v>
      </c>
      <c r="C42" s="10" t="s">
        <v>264</v>
      </c>
      <c r="D42" s="11" t="str">
        <f t="shared" si="1"/>
        <v>Standard</v>
      </c>
      <c r="E42" s="12">
        <v>45343.0</v>
      </c>
      <c r="F42" s="13">
        <v>685000.0</v>
      </c>
      <c r="G42" s="14">
        <v>0.0</v>
      </c>
      <c r="H42" s="15">
        <f t="shared" si="2"/>
        <v>685000</v>
      </c>
      <c r="I42" s="11" t="str">
        <f t="shared" si="3"/>
        <v>Inactive</v>
      </c>
    </row>
    <row r="43" ht="22.5" customHeight="1">
      <c r="A43" s="10" t="s">
        <v>389</v>
      </c>
      <c r="B43" s="10" t="s">
        <v>390</v>
      </c>
      <c r="C43" s="10" t="s">
        <v>268</v>
      </c>
      <c r="D43" s="11" t="str">
        <f t="shared" si="1"/>
        <v>Standard</v>
      </c>
      <c r="E43" s="12">
        <v>45344.0</v>
      </c>
      <c r="F43" s="13">
        <v>705000.0</v>
      </c>
      <c r="G43" s="14">
        <v>0.0</v>
      </c>
      <c r="H43" s="15">
        <f t="shared" si="2"/>
        <v>705000</v>
      </c>
      <c r="I43" s="11" t="str">
        <f t="shared" si="3"/>
        <v>Inactive</v>
      </c>
    </row>
    <row r="44" ht="22.5" customHeight="1">
      <c r="A44" s="10" t="s">
        <v>391</v>
      </c>
      <c r="B44" s="10" t="s">
        <v>392</v>
      </c>
      <c r="C44" s="10" t="s">
        <v>272</v>
      </c>
      <c r="D44" s="11" t="str">
        <f t="shared" si="1"/>
        <v>Standard</v>
      </c>
      <c r="E44" s="12">
        <v>45345.0</v>
      </c>
      <c r="F44" s="13">
        <v>725000.0</v>
      </c>
      <c r="G44" s="14">
        <v>0.0</v>
      </c>
      <c r="H44" s="15">
        <f t="shared" si="2"/>
        <v>725000</v>
      </c>
      <c r="I44" s="11" t="str">
        <f t="shared" si="3"/>
        <v>Inactive</v>
      </c>
    </row>
    <row r="45" ht="22.5" customHeight="1">
      <c r="A45" s="10" t="s">
        <v>393</v>
      </c>
      <c r="B45" s="10" t="s">
        <v>394</v>
      </c>
      <c r="C45" s="10" t="s">
        <v>275</v>
      </c>
      <c r="D45" s="11" t="str">
        <f t="shared" si="1"/>
        <v>Standard</v>
      </c>
      <c r="E45" s="12">
        <v>45346.0</v>
      </c>
      <c r="F45" s="13">
        <v>745000.0</v>
      </c>
      <c r="G45" s="14">
        <v>0.0</v>
      </c>
      <c r="H45" s="15">
        <f t="shared" si="2"/>
        <v>745000</v>
      </c>
      <c r="I45" s="11" t="str">
        <f t="shared" si="3"/>
        <v>Inactive</v>
      </c>
    </row>
    <row r="46" ht="22.5" customHeight="1">
      <c r="A46" s="10" t="s">
        <v>395</v>
      </c>
      <c r="B46" s="10" t="s">
        <v>396</v>
      </c>
      <c r="C46" s="10" t="s">
        <v>279</v>
      </c>
      <c r="D46" s="11" t="str">
        <f t="shared" si="1"/>
        <v>Standard</v>
      </c>
      <c r="E46" s="12">
        <v>45347.0</v>
      </c>
      <c r="F46" s="13">
        <v>765000.0</v>
      </c>
      <c r="G46" s="14">
        <v>0.0</v>
      </c>
      <c r="H46" s="15">
        <f t="shared" si="2"/>
        <v>765000</v>
      </c>
      <c r="I46" s="11" t="str">
        <f t="shared" si="3"/>
        <v>Inactive</v>
      </c>
    </row>
    <row r="47" ht="22.5" customHeight="1">
      <c r="A47" s="10" t="s">
        <v>397</v>
      </c>
      <c r="B47" s="10" t="s">
        <v>398</v>
      </c>
      <c r="C47" s="10" t="s">
        <v>283</v>
      </c>
      <c r="D47" s="11" t="str">
        <f t="shared" si="1"/>
        <v>Standard</v>
      </c>
      <c r="E47" s="12">
        <v>45348.0</v>
      </c>
      <c r="F47" s="13">
        <v>785000.0</v>
      </c>
      <c r="G47" s="14">
        <v>0.0</v>
      </c>
      <c r="H47" s="15">
        <f t="shared" si="2"/>
        <v>785000</v>
      </c>
      <c r="I47" s="11" t="str">
        <f t="shared" si="3"/>
        <v>Inactive</v>
      </c>
    </row>
    <row r="48" ht="22.5" customHeight="1">
      <c r="A48" s="10" t="s">
        <v>399</v>
      </c>
      <c r="B48" s="10" t="s">
        <v>400</v>
      </c>
      <c r="C48" s="10" t="s">
        <v>287</v>
      </c>
      <c r="D48" s="11" t="str">
        <f t="shared" si="1"/>
        <v>Standard</v>
      </c>
      <c r="E48" s="12">
        <v>45349.0</v>
      </c>
      <c r="F48" s="13">
        <v>805000.0</v>
      </c>
      <c r="G48" s="14">
        <v>0.0</v>
      </c>
      <c r="H48" s="15">
        <f t="shared" si="2"/>
        <v>805000</v>
      </c>
      <c r="I48" s="11" t="str">
        <f t="shared" si="3"/>
        <v>Inactive</v>
      </c>
    </row>
    <row r="49" ht="22.5" customHeight="1">
      <c r="A49" s="10" t="s">
        <v>401</v>
      </c>
      <c r="B49" s="10" t="s">
        <v>402</v>
      </c>
      <c r="C49" s="10" t="s">
        <v>290</v>
      </c>
      <c r="D49" s="11" t="str">
        <f t="shared" si="1"/>
        <v>Standard</v>
      </c>
      <c r="E49" s="12">
        <v>45350.0</v>
      </c>
      <c r="F49" s="13">
        <v>825000.0</v>
      </c>
      <c r="G49" s="14">
        <v>0.0</v>
      </c>
      <c r="H49" s="15">
        <f t="shared" si="2"/>
        <v>825000</v>
      </c>
      <c r="I49" s="11" t="str">
        <f t="shared" si="3"/>
        <v>Inactive</v>
      </c>
    </row>
    <row r="50" ht="22.5" customHeight="1">
      <c r="A50" s="10" t="s">
        <v>403</v>
      </c>
      <c r="B50" s="10" t="s">
        <v>404</v>
      </c>
      <c r="C50" s="10" t="s">
        <v>294</v>
      </c>
      <c r="D50" s="11" t="str">
        <f t="shared" si="1"/>
        <v>Standard</v>
      </c>
      <c r="E50" s="12">
        <v>45351.0</v>
      </c>
      <c r="F50" s="13">
        <v>845000.0</v>
      </c>
      <c r="G50" s="14">
        <v>0.0</v>
      </c>
      <c r="H50" s="15">
        <f t="shared" si="2"/>
        <v>845000</v>
      </c>
      <c r="I50" s="11" t="str">
        <f t="shared" si="3"/>
        <v>Inactive</v>
      </c>
    </row>
    <row r="51" ht="22.5" customHeight="1">
      <c r="A51" s="10" t="s">
        <v>405</v>
      </c>
      <c r="B51" s="10" t="s">
        <v>406</v>
      </c>
      <c r="C51" s="10" t="s">
        <v>298</v>
      </c>
      <c r="D51" s="11" t="str">
        <f t="shared" si="1"/>
        <v>Standard</v>
      </c>
      <c r="E51" s="12">
        <v>45352.0</v>
      </c>
      <c r="F51" s="13">
        <v>865000.0</v>
      </c>
      <c r="G51" s="14">
        <v>0.0</v>
      </c>
      <c r="H51" s="15">
        <f t="shared" si="2"/>
        <v>865000</v>
      </c>
      <c r="I51" s="11" t="str">
        <f t="shared" si="3"/>
        <v>Inactive</v>
      </c>
    </row>
    <row r="52" ht="22.5" customHeight="1">
      <c r="A52" s="10" t="s">
        <v>407</v>
      </c>
      <c r="B52" s="10" t="s">
        <v>408</v>
      </c>
      <c r="C52" s="10" t="s">
        <v>301</v>
      </c>
      <c r="D52" s="11" t="str">
        <f t="shared" si="1"/>
        <v>Standard</v>
      </c>
      <c r="E52" s="12">
        <v>45353.0</v>
      </c>
      <c r="F52" s="13">
        <v>885000.0</v>
      </c>
      <c r="G52" s="14">
        <v>0.0</v>
      </c>
      <c r="H52" s="15">
        <f t="shared" si="2"/>
        <v>885000</v>
      </c>
      <c r="I52" s="11" t="str">
        <f t="shared" si="3"/>
        <v>Inactive</v>
      </c>
    </row>
  </sheetData>
  <dataValidations>
    <dataValidation type="custom" allowBlank="1" showDropDown="1" sqref="E3:E52">
      <formula1>OR(NOT(ISERROR(DATEVALUE(E3))), AND(ISNUMBER(E3), LEFT(CELL("format", E3))="D"))</formula1>
    </dataValidation>
    <dataValidation type="custom" allowBlank="1" showDropDown="1" sqref="F3:H52">
      <formula1>AND(ISNUMBER(F3),(NOT(OR(NOT(ISERROR(DATEVALUE(F3))), AND(ISNUMBER(F3), LEFT(CELL("format", F3))="D")))))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1.0"/>
    <col customWidth="1" min="4" max="4" width="17.75"/>
    <col customWidth="1" min="5" max="5" width="18.63"/>
    <col customWidth="1" min="6" max="6" width="20.38"/>
    <col customWidth="1" min="7" max="7" width="15.75"/>
    <col customWidth="1" min="8" max="8" width="19.63"/>
  </cols>
  <sheetData>
    <row r="2" ht="22.5" customHeight="1">
      <c r="B2" s="9" t="s">
        <v>409</v>
      </c>
      <c r="C2" s="9" t="s">
        <v>410</v>
      </c>
      <c r="D2" s="9" t="s">
        <v>411</v>
      </c>
      <c r="E2" s="9" t="s">
        <v>412</v>
      </c>
      <c r="F2" s="9" t="s">
        <v>413</v>
      </c>
      <c r="G2" s="9" t="s">
        <v>414</v>
      </c>
      <c r="H2" s="9" t="s">
        <v>415</v>
      </c>
    </row>
    <row r="3" ht="22.5" customHeight="1">
      <c r="B3" s="10" t="s">
        <v>416</v>
      </c>
      <c r="C3" s="12">
        <v>45659.0</v>
      </c>
      <c r="D3" s="10" t="s">
        <v>309</v>
      </c>
      <c r="E3" s="17" t="s">
        <v>417</v>
      </c>
      <c r="F3" s="13">
        <v>50000.0</v>
      </c>
      <c r="G3" s="11" t="str">
        <f t="shared" ref="G3:G52" si="1">IF(F3&gt;=100000,"Deposited","Rejected")</f>
        <v>Rejected</v>
      </c>
      <c r="H3" s="15">
        <f>IF(G3="Deposited",F3,0)</f>
        <v>0</v>
      </c>
    </row>
    <row r="4" ht="22.5" customHeight="1">
      <c r="B4" s="10" t="s">
        <v>418</v>
      </c>
      <c r="C4" s="12">
        <v>45660.0</v>
      </c>
      <c r="D4" s="10" t="s">
        <v>311</v>
      </c>
      <c r="E4" s="17" t="s">
        <v>419</v>
      </c>
      <c r="F4" s="13">
        <v>75000.0</v>
      </c>
      <c r="G4" s="11" t="str">
        <f t="shared" si="1"/>
        <v>Rejected</v>
      </c>
      <c r="H4" s="15">
        <f t="shared" ref="H4:H52" si="2">IF(G4="Deposited",F3,0)</f>
        <v>0</v>
      </c>
    </row>
    <row r="5" ht="22.5" customHeight="1">
      <c r="B5" s="10" t="s">
        <v>420</v>
      </c>
      <c r="C5" s="12">
        <v>45661.0</v>
      </c>
      <c r="D5" s="10" t="s">
        <v>313</v>
      </c>
      <c r="E5" s="17" t="s">
        <v>421</v>
      </c>
      <c r="F5" s="13">
        <v>100000.0</v>
      </c>
      <c r="G5" s="11" t="str">
        <f t="shared" si="1"/>
        <v>Deposited</v>
      </c>
      <c r="H5" s="15">
        <f t="shared" si="2"/>
        <v>75000</v>
      </c>
    </row>
    <row r="6" ht="22.5" customHeight="1">
      <c r="B6" s="10" t="s">
        <v>422</v>
      </c>
      <c r="C6" s="12">
        <v>45662.0</v>
      </c>
      <c r="D6" s="10" t="s">
        <v>315</v>
      </c>
      <c r="E6" s="17" t="s">
        <v>417</v>
      </c>
      <c r="F6" s="13">
        <v>125000.0</v>
      </c>
      <c r="G6" s="11" t="str">
        <f t="shared" si="1"/>
        <v>Deposited</v>
      </c>
      <c r="H6" s="15">
        <f t="shared" si="2"/>
        <v>100000</v>
      </c>
    </row>
    <row r="7" ht="22.5" customHeight="1">
      <c r="B7" s="10" t="s">
        <v>423</v>
      </c>
      <c r="C7" s="12">
        <v>45663.0</v>
      </c>
      <c r="D7" s="10" t="s">
        <v>317</v>
      </c>
      <c r="E7" s="17" t="s">
        <v>419</v>
      </c>
      <c r="F7" s="13">
        <v>150000.0</v>
      </c>
      <c r="G7" s="11" t="str">
        <f t="shared" si="1"/>
        <v>Deposited</v>
      </c>
      <c r="H7" s="15">
        <f t="shared" si="2"/>
        <v>125000</v>
      </c>
    </row>
    <row r="8" ht="22.5" customHeight="1">
      <c r="B8" s="10" t="s">
        <v>424</v>
      </c>
      <c r="C8" s="12">
        <v>45664.0</v>
      </c>
      <c r="D8" s="10" t="s">
        <v>319</v>
      </c>
      <c r="E8" s="17" t="s">
        <v>421</v>
      </c>
      <c r="F8" s="13">
        <v>175000.0</v>
      </c>
      <c r="G8" s="11" t="str">
        <f t="shared" si="1"/>
        <v>Deposited</v>
      </c>
      <c r="H8" s="15">
        <f t="shared" si="2"/>
        <v>150000</v>
      </c>
    </row>
    <row r="9" ht="22.5" customHeight="1">
      <c r="B9" s="10" t="s">
        <v>425</v>
      </c>
      <c r="C9" s="12">
        <v>45665.0</v>
      </c>
      <c r="D9" s="10" t="s">
        <v>321</v>
      </c>
      <c r="E9" s="17" t="s">
        <v>417</v>
      </c>
      <c r="F9" s="13">
        <v>200000.0</v>
      </c>
      <c r="G9" s="11" t="str">
        <f t="shared" si="1"/>
        <v>Deposited</v>
      </c>
      <c r="H9" s="18">
        <f t="shared" si="2"/>
        <v>175000</v>
      </c>
      <c r="I9" s="19"/>
    </row>
    <row r="10" ht="22.5" customHeight="1">
      <c r="B10" s="10" t="s">
        <v>426</v>
      </c>
      <c r="C10" s="12">
        <v>45666.0</v>
      </c>
      <c r="D10" s="10" t="s">
        <v>323</v>
      </c>
      <c r="E10" s="17" t="s">
        <v>419</v>
      </c>
      <c r="F10" s="13">
        <v>225000.0</v>
      </c>
      <c r="G10" s="11" t="str">
        <f t="shared" si="1"/>
        <v>Deposited</v>
      </c>
      <c r="H10" s="15">
        <f t="shared" si="2"/>
        <v>200000</v>
      </c>
    </row>
    <row r="11" ht="22.5" customHeight="1">
      <c r="B11" s="10" t="s">
        <v>427</v>
      </c>
      <c r="C11" s="12">
        <v>45667.0</v>
      </c>
      <c r="D11" s="10" t="s">
        <v>325</v>
      </c>
      <c r="E11" s="17" t="s">
        <v>421</v>
      </c>
      <c r="F11" s="13">
        <v>250000.0</v>
      </c>
      <c r="G11" s="11" t="str">
        <f t="shared" si="1"/>
        <v>Deposited</v>
      </c>
      <c r="H11" s="15">
        <f t="shared" si="2"/>
        <v>225000</v>
      </c>
    </row>
    <row r="12" ht="22.5" customHeight="1">
      <c r="B12" s="10" t="s">
        <v>428</v>
      </c>
      <c r="C12" s="12">
        <v>45668.0</v>
      </c>
      <c r="D12" s="10" t="s">
        <v>327</v>
      </c>
      <c r="E12" s="17" t="s">
        <v>417</v>
      </c>
      <c r="F12" s="13">
        <v>275000.0</v>
      </c>
      <c r="G12" s="11" t="str">
        <f t="shared" si="1"/>
        <v>Deposited</v>
      </c>
      <c r="H12" s="15">
        <f t="shared" si="2"/>
        <v>250000</v>
      </c>
    </row>
    <row r="13" ht="22.5" customHeight="1">
      <c r="B13" s="10" t="s">
        <v>429</v>
      </c>
      <c r="C13" s="12">
        <v>45669.0</v>
      </c>
      <c r="D13" s="10" t="s">
        <v>329</v>
      </c>
      <c r="E13" s="17" t="s">
        <v>419</v>
      </c>
      <c r="F13" s="13">
        <v>300000.0</v>
      </c>
      <c r="G13" s="11" t="str">
        <f t="shared" si="1"/>
        <v>Deposited</v>
      </c>
      <c r="H13" s="15">
        <f t="shared" si="2"/>
        <v>275000</v>
      </c>
    </row>
    <row r="14" ht="22.5" customHeight="1">
      <c r="B14" s="10" t="s">
        <v>430</v>
      </c>
      <c r="C14" s="12">
        <v>45670.0</v>
      </c>
      <c r="D14" s="10" t="s">
        <v>331</v>
      </c>
      <c r="E14" s="17" t="s">
        <v>421</v>
      </c>
      <c r="F14" s="13">
        <v>325000.0</v>
      </c>
      <c r="G14" s="11" t="str">
        <f t="shared" si="1"/>
        <v>Deposited</v>
      </c>
      <c r="H14" s="15">
        <f t="shared" si="2"/>
        <v>300000</v>
      </c>
    </row>
    <row r="15" ht="22.5" customHeight="1">
      <c r="B15" s="10" t="s">
        <v>431</v>
      </c>
      <c r="C15" s="12">
        <v>45671.0</v>
      </c>
      <c r="D15" s="10" t="s">
        <v>333</v>
      </c>
      <c r="E15" s="17" t="s">
        <v>417</v>
      </c>
      <c r="F15" s="13">
        <v>350000.0</v>
      </c>
      <c r="G15" s="11" t="str">
        <f t="shared" si="1"/>
        <v>Deposited</v>
      </c>
      <c r="H15" s="15">
        <f t="shared" si="2"/>
        <v>325000</v>
      </c>
    </row>
    <row r="16" ht="22.5" customHeight="1">
      <c r="B16" s="10" t="s">
        <v>432</v>
      </c>
      <c r="C16" s="12">
        <v>45672.0</v>
      </c>
      <c r="D16" s="10" t="s">
        <v>335</v>
      </c>
      <c r="E16" s="17" t="s">
        <v>419</v>
      </c>
      <c r="F16" s="13">
        <v>375000.0</v>
      </c>
      <c r="G16" s="11" t="str">
        <f t="shared" si="1"/>
        <v>Deposited</v>
      </c>
      <c r="H16" s="15">
        <f t="shared" si="2"/>
        <v>350000</v>
      </c>
    </row>
    <row r="17" ht="22.5" customHeight="1">
      <c r="B17" s="10" t="s">
        <v>433</v>
      </c>
      <c r="C17" s="12">
        <v>45673.0</v>
      </c>
      <c r="D17" s="10" t="s">
        <v>337</v>
      </c>
      <c r="E17" s="17" t="s">
        <v>421</v>
      </c>
      <c r="F17" s="13">
        <v>400000.0</v>
      </c>
      <c r="G17" s="11" t="str">
        <f t="shared" si="1"/>
        <v>Deposited</v>
      </c>
      <c r="H17" s="15">
        <f t="shared" si="2"/>
        <v>375000</v>
      </c>
    </row>
    <row r="18" ht="22.5" customHeight="1">
      <c r="B18" s="10" t="s">
        <v>434</v>
      </c>
      <c r="C18" s="12">
        <v>45674.0</v>
      </c>
      <c r="D18" s="10" t="s">
        <v>339</v>
      </c>
      <c r="E18" s="17" t="s">
        <v>417</v>
      </c>
      <c r="F18" s="13">
        <v>425000.0</v>
      </c>
      <c r="G18" s="11" t="str">
        <f t="shared" si="1"/>
        <v>Deposited</v>
      </c>
      <c r="H18" s="15">
        <f t="shared" si="2"/>
        <v>400000</v>
      </c>
    </row>
    <row r="19" ht="22.5" customHeight="1">
      <c r="B19" s="10" t="s">
        <v>435</v>
      </c>
      <c r="C19" s="12">
        <v>45675.0</v>
      </c>
      <c r="D19" s="10" t="s">
        <v>341</v>
      </c>
      <c r="E19" s="17" t="s">
        <v>419</v>
      </c>
      <c r="F19" s="13">
        <v>450000.0</v>
      </c>
      <c r="G19" s="11" t="str">
        <f t="shared" si="1"/>
        <v>Deposited</v>
      </c>
      <c r="H19" s="15">
        <f t="shared" si="2"/>
        <v>425000</v>
      </c>
    </row>
    <row r="20" ht="22.5" customHeight="1">
      <c r="B20" s="10" t="s">
        <v>436</v>
      </c>
      <c r="C20" s="12">
        <v>45676.0</v>
      </c>
      <c r="D20" s="10" t="s">
        <v>343</v>
      </c>
      <c r="E20" s="17" t="s">
        <v>421</v>
      </c>
      <c r="F20" s="13">
        <v>475000.0</v>
      </c>
      <c r="G20" s="11" t="str">
        <f t="shared" si="1"/>
        <v>Deposited</v>
      </c>
      <c r="H20" s="15">
        <f t="shared" si="2"/>
        <v>450000</v>
      </c>
    </row>
    <row r="21" ht="22.5" customHeight="1">
      <c r="B21" s="10" t="s">
        <v>437</v>
      </c>
      <c r="C21" s="12">
        <v>45677.0</v>
      </c>
      <c r="D21" s="10" t="s">
        <v>345</v>
      </c>
      <c r="E21" s="17" t="s">
        <v>417</v>
      </c>
      <c r="F21" s="13">
        <v>500000.0</v>
      </c>
      <c r="G21" s="11" t="str">
        <f t="shared" si="1"/>
        <v>Deposited</v>
      </c>
      <c r="H21" s="15">
        <f t="shared" si="2"/>
        <v>475000</v>
      </c>
    </row>
    <row r="22" ht="22.5" customHeight="1">
      <c r="B22" s="10" t="s">
        <v>438</v>
      </c>
      <c r="C22" s="12">
        <v>45678.0</v>
      </c>
      <c r="D22" s="10" t="s">
        <v>347</v>
      </c>
      <c r="E22" s="17" t="s">
        <v>419</v>
      </c>
      <c r="F22" s="13">
        <v>525000.0</v>
      </c>
      <c r="G22" s="11" t="str">
        <f t="shared" si="1"/>
        <v>Deposited</v>
      </c>
      <c r="H22" s="15">
        <f t="shared" si="2"/>
        <v>500000</v>
      </c>
    </row>
    <row r="23" ht="22.5" customHeight="1">
      <c r="B23" s="10" t="s">
        <v>439</v>
      </c>
      <c r="C23" s="12">
        <v>45679.0</v>
      </c>
      <c r="D23" s="10" t="s">
        <v>349</v>
      </c>
      <c r="E23" s="17" t="s">
        <v>421</v>
      </c>
      <c r="F23" s="13">
        <v>550000.0</v>
      </c>
      <c r="G23" s="11" t="str">
        <f t="shared" si="1"/>
        <v>Deposited</v>
      </c>
      <c r="H23" s="15">
        <f t="shared" si="2"/>
        <v>525000</v>
      </c>
    </row>
    <row r="24" ht="22.5" customHeight="1">
      <c r="B24" s="10" t="s">
        <v>440</v>
      </c>
      <c r="C24" s="12">
        <v>45680.0</v>
      </c>
      <c r="D24" s="10" t="s">
        <v>351</v>
      </c>
      <c r="E24" s="17" t="s">
        <v>417</v>
      </c>
      <c r="F24" s="13">
        <v>575000.0</v>
      </c>
      <c r="G24" s="11" t="str">
        <f t="shared" si="1"/>
        <v>Deposited</v>
      </c>
      <c r="H24" s="15">
        <f t="shared" si="2"/>
        <v>550000</v>
      </c>
    </row>
    <row r="25" ht="22.5" customHeight="1">
      <c r="B25" s="10" t="s">
        <v>441</v>
      </c>
      <c r="C25" s="12">
        <v>45681.0</v>
      </c>
      <c r="D25" s="10" t="s">
        <v>353</v>
      </c>
      <c r="E25" s="17" t="s">
        <v>419</v>
      </c>
      <c r="F25" s="13">
        <v>600000.0</v>
      </c>
      <c r="G25" s="11" t="str">
        <f t="shared" si="1"/>
        <v>Deposited</v>
      </c>
      <c r="H25" s="15">
        <f t="shared" si="2"/>
        <v>575000</v>
      </c>
    </row>
    <row r="26" ht="22.5" customHeight="1">
      <c r="B26" s="10" t="s">
        <v>442</v>
      </c>
      <c r="C26" s="12">
        <v>45682.0</v>
      </c>
      <c r="D26" s="10" t="s">
        <v>355</v>
      </c>
      <c r="E26" s="17" t="s">
        <v>421</v>
      </c>
      <c r="F26" s="13">
        <v>625000.0</v>
      </c>
      <c r="G26" s="11" t="str">
        <f t="shared" si="1"/>
        <v>Deposited</v>
      </c>
      <c r="H26" s="15">
        <f t="shared" si="2"/>
        <v>600000</v>
      </c>
    </row>
    <row r="27" ht="22.5" customHeight="1">
      <c r="B27" s="10" t="s">
        <v>443</v>
      </c>
      <c r="C27" s="12">
        <v>45683.0</v>
      </c>
      <c r="D27" s="10" t="s">
        <v>357</v>
      </c>
      <c r="E27" s="17" t="s">
        <v>417</v>
      </c>
      <c r="F27" s="13">
        <v>650000.0</v>
      </c>
      <c r="G27" s="11" t="str">
        <f t="shared" si="1"/>
        <v>Deposited</v>
      </c>
      <c r="H27" s="15">
        <f t="shared" si="2"/>
        <v>625000</v>
      </c>
    </row>
    <row r="28" ht="22.5" customHeight="1">
      <c r="B28" s="10" t="s">
        <v>444</v>
      </c>
      <c r="C28" s="12">
        <v>45684.0</v>
      </c>
      <c r="D28" s="10" t="s">
        <v>359</v>
      </c>
      <c r="E28" s="17" t="s">
        <v>419</v>
      </c>
      <c r="F28" s="13">
        <v>675000.0</v>
      </c>
      <c r="G28" s="11" t="str">
        <f t="shared" si="1"/>
        <v>Deposited</v>
      </c>
      <c r="H28" s="15">
        <f t="shared" si="2"/>
        <v>650000</v>
      </c>
    </row>
    <row r="29" ht="22.5" customHeight="1">
      <c r="B29" s="10" t="s">
        <v>445</v>
      </c>
      <c r="C29" s="12">
        <v>45685.0</v>
      </c>
      <c r="D29" s="10" t="s">
        <v>361</v>
      </c>
      <c r="E29" s="17" t="s">
        <v>421</v>
      </c>
      <c r="F29" s="13">
        <v>700000.0</v>
      </c>
      <c r="G29" s="11" t="str">
        <f t="shared" si="1"/>
        <v>Deposited</v>
      </c>
      <c r="H29" s="15">
        <f t="shared" si="2"/>
        <v>675000</v>
      </c>
    </row>
    <row r="30" ht="22.5" customHeight="1">
      <c r="B30" s="10" t="s">
        <v>446</v>
      </c>
      <c r="C30" s="12">
        <v>45686.0</v>
      </c>
      <c r="D30" s="10" t="s">
        <v>363</v>
      </c>
      <c r="E30" s="17" t="s">
        <v>417</v>
      </c>
      <c r="F30" s="13">
        <v>725000.0</v>
      </c>
      <c r="G30" s="11" t="str">
        <f t="shared" si="1"/>
        <v>Deposited</v>
      </c>
      <c r="H30" s="15">
        <f t="shared" si="2"/>
        <v>700000</v>
      </c>
    </row>
    <row r="31" ht="22.5" customHeight="1">
      <c r="B31" s="10" t="s">
        <v>447</v>
      </c>
      <c r="C31" s="12">
        <v>45687.0</v>
      </c>
      <c r="D31" s="10" t="s">
        <v>365</v>
      </c>
      <c r="E31" s="17" t="s">
        <v>419</v>
      </c>
      <c r="F31" s="13">
        <v>750000.0</v>
      </c>
      <c r="G31" s="11" t="str">
        <f t="shared" si="1"/>
        <v>Deposited</v>
      </c>
      <c r="H31" s="15">
        <f t="shared" si="2"/>
        <v>725000</v>
      </c>
    </row>
    <row r="32" ht="22.5" customHeight="1">
      <c r="B32" s="10" t="s">
        <v>448</v>
      </c>
      <c r="C32" s="12">
        <v>45688.0</v>
      </c>
      <c r="D32" s="10" t="s">
        <v>367</v>
      </c>
      <c r="E32" s="17" t="s">
        <v>421</v>
      </c>
      <c r="F32" s="13">
        <v>775000.0</v>
      </c>
      <c r="G32" s="11" t="str">
        <f t="shared" si="1"/>
        <v>Deposited</v>
      </c>
      <c r="H32" s="15">
        <f t="shared" si="2"/>
        <v>750000</v>
      </c>
    </row>
    <row r="33" ht="22.5" customHeight="1">
      <c r="B33" s="10" t="s">
        <v>449</v>
      </c>
      <c r="C33" s="12">
        <v>45689.0</v>
      </c>
      <c r="D33" s="10" t="s">
        <v>369</v>
      </c>
      <c r="E33" s="17" t="s">
        <v>417</v>
      </c>
      <c r="F33" s="13">
        <v>800000.0</v>
      </c>
      <c r="G33" s="11" t="str">
        <f t="shared" si="1"/>
        <v>Deposited</v>
      </c>
      <c r="H33" s="15">
        <f t="shared" si="2"/>
        <v>775000</v>
      </c>
    </row>
    <row r="34" ht="22.5" customHeight="1">
      <c r="B34" s="10" t="s">
        <v>450</v>
      </c>
      <c r="C34" s="12">
        <v>45690.0</v>
      </c>
      <c r="D34" s="10" t="s">
        <v>371</v>
      </c>
      <c r="E34" s="17" t="s">
        <v>419</v>
      </c>
      <c r="F34" s="13">
        <v>825000.0</v>
      </c>
      <c r="G34" s="11" t="str">
        <f t="shared" si="1"/>
        <v>Deposited</v>
      </c>
      <c r="H34" s="15">
        <f t="shared" si="2"/>
        <v>800000</v>
      </c>
    </row>
    <row r="35" ht="22.5" customHeight="1">
      <c r="B35" s="10" t="s">
        <v>451</v>
      </c>
      <c r="C35" s="12">
        <v>45691.0</v>
      </c>
      <c r="D35" s="10" t="s">
        <v>373</v>
      </c>
      <c r="E35" s="17" t="s">
        <v>421</v>
      </c>
      <c r="F35" s="13">
        <v>850000.0</v>
      </c>
      <c r="G35" s="11" t="str">
        <f t="shared" si="1"/>
        <v>Deposited</v>
      </c>
      <c r="H35" s="15">
        <f t="shared" si="2"/>
        <v>825000</v>
      </c>
    </row>
    <row r="36" ht="22.5" customHeight="1">
      <c r="B36" s="10" t="s">
        <v>452</v>
      </c>
      <c r="C36" s="12">
        <v>45692.0</v>
      </c>
      <c r="D36" s="10" t="s">
        <v>375</v>
      </c>
      <c r="E36" s="17" t="s">
        <v>417</v>
      </c>
      <c r="F36" s="13">
        <v>875000.0</v>
      </c>
      <c r="G36" s="11" t="str">
        <f t="shared" si="1"/>
        <v>Deposited</v>
      </c>
      <c r="H36" s="15">
        <f t="shared" si="2"/>
        <v>850000</v>
      </c>
    </row>
    <row r="37" ht="22.5" customHeight="1">
      <c r="B37" s="10" t="s">
        <v>453</v>
      </c>
      <c r="C37" s="12">
        <v>45693.0</v>
      </c>
      <c r="D37" s="10" t="s">
        <v>377</v>
      </c>
      <c r="E37" s="17" t="s">
        <v>419</v>
      </c>
      <c r="F37" s="13">
        <v>900000.0</v>
      </c>
      <c r="G37" s="11" t="str">
        <f t="shared" si="1"/>
        <v>Deposited</v>
      </c>
      <c r="H37" s="15">
        <f t="shared" si="2"/>
        <v>875000</v>
      </c>
    </row>
    <row r="38" ht="22.5" customHeight="1">
      <c r="B38" s="10" t="s">
        <v>454</v>
      </c>
      <c r="C38" s="12">
        <v>45694.0</v>
      </c>
      <c r="D38" s="10" t="s">
        <v>379</v>
      </c>
      <c r="E38" s="17" t="s">
        <v>421</v>
      </c>
      <c r="F38" s="13">
        <v>925000.0</v>
      </c>
      <c r="G38" s="11" t="str">
        <f t="shared" si="1"/>
        <v>Deposited</v>
      </c>
      <c r="H38" s="15">
        <f t="shared" si="2"/>
        <v>900000</v>
      </c>
    </row>
    <row r="39" ht="22.5" customHeight="1">
      <c r="B39" s="10" t="s">
        <v>455</v>
      </c>
      <c r="C39" s="12">
        <v>45695.0</v>
      </c>
      <c r="D39" s="10" t="s">
        <v>381</v>
      </c>
      <c r="E39" s="17" t="s">
        <v>417</v>
      </c>
      <c r="F39" s="13">
        <v>950000.0</v>
      </c>
      <c r="G39" s="11" t="str">
        <f t="shared" si="1"/>
        <v>Deposited</v>
      </c>
      <c r="H39" s="15">
        <f t="shared" si="2"/>
        <v>925000</v>
      </c>
    </row>
    <row r="40" ht="22.5" customHeight="1">
      <c r="B40" s="10" t="s">
        <v>456</v>
      </c>
      <c r="C40" s="12">
        <v>45696.0</v>
      </c>
      <c r="D40" s="10" t="s">
        <v>383</v>
      </c>
      <c r="E40" s="17" t="s">
        <v>419</v>
      </c>
      <c r="F40" s="13">
        <v>975000.0</v>
      </c>
      <c r="G40" s="11" t="str">
        <f t="shared" si="1"/>
        <v>Deposited</v>
      </c>
      <c r="H40" s="15">
        <f t="shared" si="2"/>
        <v>950000</v>
      </c>
    </row>
    <row r="41" ht="22.5" customHeight="1">
      <c r="B41" s="10" t="s">
        <v>457</v>
      </c>
      <c r="C41" s="12">
        <v>45697.0</v>
      </c>
      <c r="D41" s="10" t="s">
        <v>385</v>
      </c>
      <c r="E41" s="17" t="s">
        <v>421</v>
      </c>
      <c r="F41" s="13">
        <v>1000000.0</v>
      </c>
      <c r="G41" s="11" t="str">
        <f t="shared" si="1"/>
        <v>Deposited</v>
      </c>
      <c r="H41" s="15">
        <f t="shared" si="2"/>
        <v>975000</v>
      </c>
    </row>
    <row r="42" ht="22.5" customHeight="1">
      <c r="B42" s="10" t="s">
        <v>458</v>
      </c>
      <c r="C42" s="12">
        <v>45698.0</v>
      </c>
      <c r="D42" s="10" t="s">
        <v>387</v>
      </c>
      <c r="E42" s="17" t="s">
        <v>417</v>
      </c>
      <c r="F42" s="13">
        <v>1025000.0</v>
      </c>
      <c r="G42" s="11" t="str">
        <f t="shared" si="1"/>
        <v>Deposited</v>
      </c>
      <c r="H42" s="15">
        <f t="shared" si="2"/>
        <v>1000000</v>
      </c>
    </row>
    <row r="43" ht="22.5" customHeight="1">
      <c r="B43" s="10" t="s">
        <v>459</v>
      </c>
      <c r="C43" s="12">
        <v>45699.0</v>
      </c>
      <c r="D43" s="10" t="s">
        <v>389</v>
      </c>
      <c r="E43" s="17" t="s">
        <v>419</v>
      </c>
      <c r="F43" s="13">
        <v>1050000.0</v>
      </c>
      <c r="G43" s="11" t="str">
        <f t="shared" si="1"/>
        <v>Deposited</v>
      </c>
      <c r="H43" s="15">
        <f t="shared" si="2"/>
        <v>1025000</v>
      </c>
    </row>
    <row r="44" ht="22.5" customHeight="1">
      <c r="B44" s="10" t="s">
        <v>460</v>
      </c>
      <c r="C44" s="12">
        <v>45700.0</v>
      </c>
      <c r="D44" s="10" t="s">
        <v>391</v>
      </c>
      <c r="E44" s="17" t="s">
        <v>421</v>
      </c>
      <c r="F44" s="13">
        <v>1075000.0</v>
      </c>
      <c r="G44" s="11" t="str">
        <f t="shared" si="1"/>
        <v>Deposited</v>
      </c>
      <c r="H44" s="15">
        <f t="shared" si="2"/>
        <v>1050000</v>
      </c>
    </row>
    <row r="45" ht="22.5" customHeight="1">
      <c r="B45" s="10" t="s">
        <v>461</v>
      </c>
      <c r="C45" s="12">
        <v>45701.0</v>
      </c>
      <c r="D45" s="10" t="s">
        <v>393</v>
      </c>
      <c r="E45" s="17" t="s">
        <v>417</v>
      </c>
      <c r="F45" s="13">
        <v>1100000.0</v>
      </c>
      <c r="G45" s="11" t="str">
        <f t="shared" si="1"/>
        <v>Deposited</v>
      </c>
      <c r="H45" s="15">
        <f t="shared" si="2"/>
        <v>1075000</v>
      </c>
    </row>
    <row r="46" ht="22.5" customHeight="1">
      <c r="B46" s="10" t="s">
        <v>462</v>
      </c>
      <c r="C46" s="12">
        <v>45702.0</v>
      </c>
      <c r="D46" s="10" t="s">
        <v>395</v>
      </c>
      <c r="E46" s="17" t="s">
        <v>419</v>
      </c>
      <c r="F46" s="13">
        <v>1125000.0</v>
      </c>
      <c r="G46" s="11" t="str">
        <f t="shared" si="1"/>
        <v>Deposited</v>
      </c>
      <c r="H46" s="15">
        <f t="shared" si="2"/>
        <v>1100000</v>
      </c>
    </row>
    <row r="47" ht="22.5" customHeight="1">
      <c r="B47" s="10" t="s">
        <v>463</v>
      </c>
      <c r="C47" s="12">
        <v>45703.0</v>
      </c>
      <c r="D47" s="10" t="s">
        <v>397</v>
      </c>
      <c r="E47" s="17" t="s">
        <v>421</v>
      </c>
      <c r="F47" s="13">
        <v>1150000.0</v>
      </c>
      <c r="G47" s="11" t="str">
        <f t="shared" si="1"/>
        <v>Deposited</v>
      </c>
      <c r="H47" s="15">
        <f t="shared" si="2"/>
        <v>1125000</v>
      </c>
    </row>
    <row r="48" ht="22.5" customHeight="1">
      <c r="B48" s="10" t="s">
        <v>464</v>
      </c>
      <c r="C48" s="12">
        <v>45704.0</v>
      </c>
      <c r="D48" s="10" t="s">
        <v>399</v>
      </c>
      <c r="E48" s="17" t="s">
        <v>417</v>
      </c>
      <c r="F48" s="13">
        <v>1175000.0</v>
      </c>
      <c r="G48" s="11" t="str">
        <f t="shared" si="1"/>
        <v>Deposited</v>
      </c>
      <c r="H48" s="15">
        <f t="shared" si="2"/>
        <v>1150000</v>
      </c>
    </row>
    <row r="49" ht="22.5" customHeight="1">
      <c r="B49" s="10" t="s">
        <v>465</v>
      </c>
      <c r="C49" s="12">
        <v>45705.0</v>
      </c>
      <c r="D49" s="10" t="s">
        <v>401</v>
      </c>
      <c r="E49" s="17" t="s">
        <v>419</v>
      </c>
      <c r="F49" s="13">
        <v>1200000.0</v>
      </c>
      <c r="G49" s="11" t="str">
        <f t="shared" si="1"/>
        <v>Deposited</v>
      </c>
      <c r="H49" s="15">
        <f t="shared" si="2"/>
        <v>1175000</v>
      </c>
    </row>
    <row r="50" ht="22.5" customHeight="1">
      <c r="B50" s="10" t="s">
        <v>466</v>
      </c>
      <c r="C50" s="12">
        <v>45706.0</v>
      </c>
      <c r="D50" s="10" t="s">
        <v>403</v>
      </c>
      <c r="E50" s="17" t="s">
        <v>421</v>
      </c>
      <c r="F50" s="13">
        <v>1225000.0</v>
      </c>
      <c r="G50" s="11" t="str">
        <f t="shared" si="1"/>
        <v>Deposited</v>
      </c>
      <c r="H50" s="15">
        <f t="shared" si="2"/>
        <v>1200000</v>
      </c>
    </row>
    <row r="51" ht="22.5" customHeight="1">
      <c r="B51" s="10" t="s">
        <v>467</v>
      </c>
      <c r="C51" s="12">
        <v>45707.0</v>
      </c>
      <c r="D51" s="10" t="s">
        <v>405</v>
      </c>
      <c r="E51" s="17" t="s">
        <v>417</v>
      </c>
      <c r="F51" s="13">
        <v>1250000.0</v>
      </c>
      <c r="G51" s="11" t="str">
        <f t="shared" si="1"/>
        <v>Deposited</v>
      </c>
      <c r="H51" s="15">
        <f t="shared" si="2"/>
        <v>1225000</v>
      </c>
    </row>
    <row r="52" ht="22.5" customHeight="1">
      <c r="B52" s="10" t="s">
        <v>468</v>
      </c>
      <c r="C52" s="12">
        <v>45708.0</v>
      </c>
      <c r="D52" s="10" t="s">
        <v>407</v>
      </c>
      <c r="E52" s="17" t="s">
        <v>419</v>
      </c>
      <c r="F52" s="13">
        <v>1275000.0</v>
      </c>
      <c r="G52" s="11" t="str">
        <f t="shared" si="1"/>
        <v>Deposited</v>
      </c>
      <c r="H52" s="15">
        <f t="shared" si="2"/>
        <v>1250000</v>
      </c>
    </row>
  </sheetData>
  <dataValidations>
    <dataValidation type="custom" allowBlank="1" showDropDown="1" sqref="C3:C52">
      <formula1>OR(NOT(ISERROR(DATEVALUE(C3))), AND(ISNUMBER(C3), LEFT(CELL("format", C3))="D"))</formula1>
    </dataValidation>
    <dataValidation type="list" allowBlank="1" showErrorMessage="1" sqref="E3:E52">
      <formula1>"Cash ,Cheque,Online"</formula1>
    </dataValidation>
    <dataValidation type="custom" allowBlank="1" showDropDown="1" sqref="F3:F52 H3:H52">
      <formula1>AND(ISNUMBER(F3),(NOT(OR(NOT(ISERROR(DATEVALUE(F3))), AND(ISNUMBER(F3), LEFT(CELL("format", F3))="D")))))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5"/>
    <col customWidth="1" min="4" max="4" width="18.13"/>
    <col customWidth="1" min="5" max="5" width="22.25"/>
    <col customWidth="1" min="6" max="6" width="16.25"/>
    <col customWidth="1" min="7" max="7" width="35.88"/>
    <col customWidth="1" min="8" max="8" width="15.88"/>
    <col customWidth="1" min="9" max="9" width="13.75"/>
  </cols>
  <sheetData>
    <row r="2" ht="22.5" customHeight="1">
      <c r="A2" s="20" t="s">
        <v>469</v>
      </c>
      <c r="B2" s="20" t="s">
        <v>109</v>
      </c>
      <c r="C2" s="20" t="s">
        <v>470</v>
      </c>
      <c r="D2" s="20" t="s">
        <v>471</v>
      </c>
      <c r="E2" s="20" t="s">
        <v>472</v>
      </c>
      <c r="F2" s="20" t="s">
        <v>473</v>
      </c>
      <c r="G2" s="20" t="s">
        <v>474</v>
      </c>
      <c r="H2" s="21" t="s">
        <v>475</v>
      </c>
      <c r="I2" s="20" t="s">
        <v>476</v>
      </c>
    </row>
    <row r="3" ht="22.5" customHeight="1">
      <c r="A3" s="10" t="s">
        <v>477</v>
      </c>
      <c r="B3" s="10" t="s">
        <v>478</v>
      </c>
      <c r="C3" s="22">
        <v>50000.0</v>
      </c>
      <c r="D3" s="22">
        <v>6.5</v>
      </c>
      <c r="E3" s="22">
        <v>12.0</v>
      </c>
      <c r="F3" s="23">
        <v>45183.0</v>
      </c>
      <c r="G3" s="24">
        <f t="shared" ref="G3:G52" si="1">EDATE(F3, E3)</f>
        <v>45549</v>
      </c>
      <c r="H3" s="25">
        <f t="shared" ref="H3:H52" si="2">C3 + (C3 * (D3/100) * (E3/12))</f>
        <v>53250</v>
      </c>
      <c r="I3" s="11" t="str">
        <f t="shared" ref="I3:I52" si="3">IF(TODAY() &gt;= G3, "Matured", "Active")</f>
        <v>Matured</v>
      </c>
    </row>
    <row r="4" ht="22.5" customHeight="1">
      <c r="A4" s="10" t="s">
        <v>479</v>
      </c>
      <c r="B4" s="10" t="s">
        <v>480</v>
      </c>
      <c r="C4" s="22">
        <v>100000.0</v>
      </c>
      <c r="D4" s="22">
        <v>7.0</v>
      </c>
      <c r="E4" s="22">
        <v>24.0</v>
      </c>
      <c r="F4" s="23">
        <v>45184.0</v>
      </c>
      <c r="G4" s="24">
        <f t="shared" si="1"/>
        <v>45915</v>
      </c>
      <c r="H4" s="25">
        <f t="shared" si="2"/>
        <v>114000</v>
      </c>
      <c r="I4" s="11" t="str">
        <f t="shared" si="3"/>
        <v>Matured</v>
      </c>
    </row>
    <row r="5" ht="22.5" customHeight="1">
      <c r="A5" s="10" t="s">
        <v>481</v>
      </c>
      <c r="B5" s="10" t="s">
        <v>482</v>
      </c>
      <c r="C5" s="22">
        <v>25000.0</v>
      </c>
      <c r="D5" s="22">
        <v>6.0</v>
      </c>
      <c r="E5" s="22">
        <v>12.0</v>
      </c>
      <c r="F5" s="23">
        <v>45185.0</v>
      </c>
      <c r="G5" s="24">
        <f t="shared" si="1"/>
        <v>45551</v>
      </c>
      <c r="H5" s="25">
        <f t="shared" si="2"/>
        <v>26500</v>
      </c>
      <c r="I5" s="11" t="str">
        <f t="shared" si="3"/>
        <v>Matured</v>
      </c>
    </row>
    <row r="6" ht="22.5" customHeight="1">
      <c r="A6" s="10" t="s">
        <v>483</v>
      </c>
      <c r="B6" s="10" t="s">
        <v>484</v>
      </c>
      <c r="C6" s="22">
        <v>150000.0</v>
      </c>
      <c r="D6" s="22">
        <v>7.5</v>
      </c>
      <c r="E6" s="22">
        <v>36.0</v>
      </c>
      <c r="F6" s="23">
        <v>45186.0</v>
      </c>
      <c r="G6" s="24">
        <f t="shared" si="1"/>
        <v>46282</v>
      </c>
      <c r="H6" s="25">
        <f t="shared" si="2"/>
        <v>183750</v>
      </c>
      <c r="I6" s="11" t="str">
        <f t="shared" si="3"/>
        <v>Active</v>
      </c>
    </row>
    <row r="7" ht="22.5" customHeight="1">
      <c r="A7" s="10" t="s">
        <v>485</v>
      </c>
      <c r="B7" s="10" t="s">
        <v>486</v>
      </c>
      <c r="C7" s="22">
        <v>75000.0</v>
      </c>
      <c r="D7" s="22">
        <v>6.8</v>
      </c>
      <c r="E7" s="22">
        <v>12.0</v>
      </c>
      <c r="F7" s="23">
        <v>45187.0</v>
      </c>
      <c r="G7" s="24">
        <f t="shared" si="1"/>
        <v>45553</v>
      </c>
      <c r="H7" s="25">
        <f t="shared" si="2"/>
        <v>80100</v>
      </c>
      <c r="I7" s="11" t="str">
        <f t="shared" si="3"/>
        <v>Matured</v>
      </c>
    </row>
    <row r="8" ht="22.5" customHeight="1">
      <c r="A8" s="10" t="s">
        <v>487</v>
      </c>
      <c r="B8" s="10" t="s">
        <v>488</v>
      </c>
      <c r="C8" s="22">
        <v>200000.0</v>
      </c>
      <c r="D8" s="22">
        <v>7.2</v>
      </c>
      <c r="E8" s="22">
        <v>24.0</v>
      </c>
      <c r="F8" s="23">
        <v>45188.0</v>
      </c>
      <c r="G8" s="24">
        <f t="shared" si="1"/>
        <v>45919</v>
      </c>
      <c r="H8" s="25">
        <f t="shared" si="2"/>
        <v>228800</v>
      </c>
      <c r="I8" s="11" t="str">
        <f t="shared" si="3"/>
        <v>Matured</v>
      </c>
    </row>
    <row r="9" ht="22.5" customHeight="1">
      <c r="A9" s="10" t="s">
        <v>489</v>
      </c>
      <c r="B9" s="10" t="s">
        <v>490</v>
      </c>
      <c r="C9" s="22">
        <v>30000.0</v>
      </c>
      <c r="D9" s="22">
        <v>6.3</v>
      </c>
      <c r="E9" s="22">
        <v>6.0</v>
      </c>
      <c r="F9" s="23">
        <v>45189.0</v>
      </c>
      <c r="G9" s="24">
        <f t="shared" si="1"/>
        <v>45371</v>
      </c>
      <c r="H9" s="25">
        <f t="shared" si="2"/>
        <v>30945</v>
      </c>
      <c r="I9" s="11" t="str">
        <f t="shared" si="3"/>
        <v>Matured</v>
      </c>
    </row>
    <row r="10" ht="22.5" customHeight="1">
      <c r="A10" s="10" t="s">
        <v>491</v>
      </c>
      <c r="B10" s="10" t="s">
        <v>492</v>
      </c>
      <c r="C10" s="22">
        <v>500000.0</v>
      </c>
      <c r="D10" s="22">
        <v>7.8</v>
      </c>
      <c r="E10" s="22">
        <v>60.0</v>
      </c>
      <c r="F10" s="23">
        <v>43840.0</v>
      </c>
      <c r="G10" s="24">
        <f t="shared" si="1"/>
        <v>45667</v>
      </c>
      <c r="H10" s="25">
        <f t="shared" si="2"/>
        <v>695000</v>
      </c>
      <c r="I10" s="11" t="str">
        <f t="shared" si="3"/>
        <v>Matured</v>
      </c>
    </row>
    <row r="11" ht="22.5" customHeight="1">
      <c r="A11" s="10" t="s">
        <v>493</v>
      </c>
      <c r="B11" s="10" t="s">
        <v>494</v>
      </c>
      <c r="C11" s="22">
        <v>120000.0</v>
      </c>
      <c r="D11" s="22">
        <v>7.1</v>
      </c>
      <c r="E11" s="22">
        <v>12.0</v>
      </c>
      <c r="F11" s="23">
        <v>45108.0</v>
      </c>
      <c r="G11" s="24">
        <f t="shared" si="1"/>
        <v>45474</v>
      </c>
      <c r="H11" s="25">
        <f t="shared" si="2"/>
        <v>128520</v>
      </c>
      <c r="I11" s="11" t="str">
        <f t="shared" si="3"/>
        <v>Matured</v>
      </c>
    </row>
    <row r="12" ht="22.5" customHeight="1">
      <c r="A12" s="10" t="s">
        <v>495</v>
      </c>
      <c r="B12" s="10" t="s">
        <v>496</v>
      </c>
      <c r="C12" s="22">
        <v>60000.0</v>
      </c>
      <c r="D12" s="22">
        <v>6.9</v>
      </c>
      <c r="E12" s="22">
        <v>24.0</v>
      </c>
      <c r="F12" s="23">
        <v>44907.0</v>
      </c>
      <c r="G12" s="24">
        <f t="shared" si="1"/>
        <v>45638</v>
      </c>
      <c r="H12" s="25">
        <f t="shared" si="2"/>
        <v>68280</v>
      </c>
      <c r="I12" s="11" t="str">
        <f t="shared" si="3"/>
        <v>Matured</v>
      </c>
    </row>
    <row r="13" ht="22.5" customHeight="1">
      <c r="A13" s="10" t="s">
        <v>497</v>
      </c>
      <c r="B13" s="10" t="s">
        <v>498</v>
      </c>
      <c r="C13" s="22">
        <v>45000.0</v>
      </c>
      <c r="D13" s="22">
        <v>6.4</v>
      </c>
      <c r="E13" s="22">
        <v>12.0</v>
      </c>
      <c r="F13" s="23">
        <v>45041.0</v>
      </c>
      <c r="G13" s="24">
        <f t="shared" si="1"/>
        <v>45407</v>
      </c>
      <c r="H13" s="25">
        <f t="shared" si="2"/>
        <v>47880</v>
      </c>
      <c r="I13" s="11" t="str">
        <f t="shared" si="3"/>
        <v>Matured</v>
      </c>
    </row>
    <row r="14" ht="22.5" customHeight="1">
      <c r="A14" s="10" t="s">
        <v>499</v>
      </c>
      <c r="B14" s="10" t="s">
        <v>500</v>
      </c>
      <c r="C14" s="22">
        <v>180000.0</v>
      </c>
      <c r="D14" s="22">
        <v>7.4</v>
      </c>
      <c r="E14" s="22">
        <v>36.0</v>
      </c>
      <c r="F14" s="23">
        <v>44474.0</v>
      </c>
      <c r="G14" s="24">
        <f t="shared" si="1"/>
        <v>45570</v>
      </c>
      <c r="H14" s="25">
        <f t="shared" si="2"/>
        <v>219960</v>
      </c>
      <c r="I14" s="11" t="str">
        <f t="shared" si="3"/>
        <v>Matured</v>
      </c>
    </row>
    <row r="15" ht="22.5" customHeight="1">
      <c r="A15" s="10" t="s">
        <v>501</v>
      </c>
      <c r="B15" s="10" t="s">
        <v>502</v>
      </c>
      <c r="C15" s="22">
        <v>90000.0</v>
      </c>
      <c r="D15" s="22">
        <v>7.0</v>
      </c>
      <c r="E15" s="22">
        <v>12.0</v>
      </c>
      <c r="F15" s="23">
        <v>44971.0</v>
      </c>
      <c r="G15" s="24">
        <f t="shared" si="1"/>
        <v>45336</v>
      </c>
      <c r="H15" s="25">
        <f t="shared" si="2"/>
        <v>96300</v>
      </c>
      <c r="I15" s="11" t="str">
        <f t="shared" si="3"/>
        <v>Matured</v>
      </c>
    </row>
    <row r="16" ht="22.5" customHeight="1">
      <c r="A16" s="10" t="s">
        <v>503</v>
      </c>
      <c r="B16" s="10" t="s">
        <v>504</v>
      </c>
      <c r="C16" s="22">
        <v>220000.0</v>
      </c>
      <c r="D16" s="22">
        <v>7.3</v>
      </c>
      <c r="E16" s="22">
        <v>24.0</v>
      </c>
      <c r="F16" s="23">
        <v>44742.0</v>
      </c>
      <c r="G16" s="24">
        <f t="shared" si="1"/>
        <v>45473</v>
      </c>
      <c r="H16" s="25">
        <f t="shared" si="2"/>
        <v>252120</v>
      </c>
      <c r="I16" s="11" t="str">
        <f t="shared" si="3"/>
        <v>Matured</v>
      </c>
    </row>
    <row r="17" ht="22.5" customHeight="1">
      <c r="A17" s="10" t="s">
        <v>505</v>
      </c>
      <c r="B17" s="10" t="s">
        <v>506</v>
      </c>
      <c r="C17" s="22">
        <v>35000.0</v>
      </c>
      <c r="D17" s="22">
        <v>6.2</v>
      </c>
      <c r="E17" s="22">
        <v>6.0</v>
      </c>
      <c r="F17" s="23">
        <v>45214.0</v>
      </c>
      <c r="G17" s="24">
        <f t="shared" si="1"/>
        <v>45397</v>
      </c>
      <c r="H17" s="25">
        <f t="shared" si="2"/>
        <v>36085</v>
      </c>
      <c r="I17" s="11" t="str">
        <f t="shared" si="3"/>
        <v>Matured</v>
      </c>
    </row>
    <row r="18" ht="22.5" customHeight="1">
      <c r="A18" s="10" t="s">
        <v>507</v>
      </c>
      <c r="B18" s="10" t="s">
        <v>508</v>
      </c>
      <c r="C18" s="22">
        <v>110000.0</v>
      </c>
      <c r="D18" s="22">
        <v>7.6</v>
      </c>
      <c r="E18" s="22">
        <v>48.0</v>
      </c>
      <c r="F18" s="23">
        <v>43971.0</v>
      </c>
      <c r="G18" s="24">
        <f t="shared" si="1"/>
        <v>45432</v>
      </c>
      <c r="H18" s="25">
        <f t="shared" si="2"/>
        <v>143440</v>
      </c>
      <c r="I18" s="11" t="str">
        <f t="shared" si="3"/>
        <v>Matured</v>
      </c>
    </row>
    <row r="19" ht="22.5" customHeight="1">
      <c r="A19" s="10" t="s">
        <v>509</v>
      </c>
      <c r="B19" s="10" t="s">
        <v>510</v>
      </c>
      <c r="C19" s="22">
        <v>80000.0</v>
      </c>
      <c r="D19" s="22">
        <v>6.7</v>
      </c>
      <c r="E19" s="22">
        <v>12.0</v>
      </c>
      <c r="F19" s="23">
        <v>45051.0</v>
      </c>
      <c r="G19" s="24">
        <f t="shared" si="1"/>
        <v>45417</v>
      </c>
      <c r="H19" s="25">
        <f t="shared" si="2"/>
        <v>85360</v>
      </c>
      <c r="I19" s="11" t="str">
        <f t="shared" si="3"/>
        <v>Matured</v>
      </c>
    </row>
    <row r="20" ht="22.5" customHeight="1">
      <c r="A20" s="10" t="s">
        <v>511</v>
      </c>
      <c r="B20" s="10" t="s">
        <v>512</v>
      </c>
      <c r="C20" s="22">
        <v>250000.0</v>
      </c>
      <c r="D20" s="22">
        <v>7.9</v>
      </c>
      <c r="E20" s="22">
        <v>36.0</v>
      </c>
      <c r="F20" s="23">
        <v>44449.0</v>
      </c>
      <c r="G20" s="24">
        <f t="shared" si="1"/>
        <v>45545</v>
      </c>
      <c r="H20" s="25">
        <f t="shared" si="2"/>
        <v>309250</v>
      </c>
      <c r="I20" s="11" t="str">
        <f t="shared" si="3"/>
        <v>Matured</v>
      </c>
    </row>
    <row r="21" ht="22.5" customHeight="1">
      <c r="A21" s="10" t="s">
        <v>513</v>
      </c>
      <c r="B21" s="10" t="s">
        <v>514</v>
      </c>
      <c r="C21" s="22">
        <v>55000.0</v>
      </c>
      <c r="D21" s="22">
        <v>6.6</v>
      </c>
      <c r="E21" s="22">
        <v>24.0</v>
      </c>
      <c r="F21" s="23">
        <v>44890.0</v>
      </c>
      <c r="G21" s="24">
        <f t="shared" si="1"/>
        <v>45621</v>
      </c>
      <c r="H21" s="25">
        <f t="shared" si="2"/>
        <v>62260</v>
      </c>
      <c r="I21" s="11" t="str">
        <f t="shared" si="3"/>
        <v>Matured</v>
      </c>
    </row>
    <row r="22" ht="22.5" customHeight="1">
      <c r="A22" s="10" t="s">
        <v>515</v>
      </c>
      <c r="B22" s="10" t="s">
        <v>516</v>
      </c>
      <c r="C22" s="22">
        <v>160000.0</v>
      </c>
      <c r="D22" s="22">
        <v>7.1</v>
      </c>
      <c r="E22" s="22">
        <v>12.0</v>
      </c>
      <c r="F22" s="23">
        <v>45139.0</v>
      </c>
      <c r="G22" s="24">
        <f t="shared" si="1"/>
        <v>45505</v>
      </c>
      <c r="H22" s="25">
        <f t="shared" si="2"/>
        <v>171360</v>
      </c>
      <c r="I22" s="11" t="str">
        <f t="shared" si="3"/>
        <v>Matured</v>
      </c>
    </row>
    <row r="23" ht="22.5" customHeight="1">
      <c r="A23" s="10" t="s">
        <v>517</v>
      </c>
      <c r="B23" s="10" t="s">
        <v>518</v>
      </c>
      <c r="C23" s="22">
        <v>40000.0</v>
      </c>
      <c r="D23" s="22">
        <v>6.5</v>
      </c>
      <c r="E23" s="22">
        <v>12.0</v>
      </c>
      <c r="F23" s="23">
        <v>44946.0</v>
      </c>
      <c r="G23" s="24">
        <f t="shared" si="1"/>
        <v>45311</v>
      </c>
      <c r="H23" s="25">
        <f t="shared" si="2"/>
        <v>42600</v>
      </c>
      <c r="I23" s="11" t="str">
        <f t="shared" si="3"/>
        <v>Matured</v>
      </c>
    </row>
    <row r="24" ht="22.5" customHeight="1">
      <c r="A24" s="10" t="s">
        <v>519</v>
      </c>
      <c r="B24" s="10" t="s">
        <v>520</v>
      </c>
      <c r="C24" s="22">
        <v>130000.0</v>
      </c>
      <c r="D24" s="22">
        <v>7.2</v>
      </c>
      <c r="E24" s="22">
        <v>24.0</v>
      </c>
      <c r="F24" s="23">
        <v>44666.0</v>
      </c>
      <c r="G24" s="24">
        <f t="shared" si="1"/>
        <v>45397</v>
      </c>
      <c r="H24" s="25">
        <f t="shared" si="2"/>
        <v>148720</v>
      </c>
      <c r="I24" s="11" t="str">
        <f t="shared" si="3"/>
        <v>Matured</v>
      </c>
    </row>
    <row r="25" ht="22.5" customHeight="1">
      <c r="A25" s="10" t="s">
        <v>521</v>
      </c>
      <c r="B25" s="10" t="s">
        <v>522</v>
      </c>
      <c r="C25" s="22">
        <v>70000.0</v>
      </c>
      <c r="D25" s="22">
        <v>6.8</v>
      </c>
      <c r="E25" s="22">
        <v>12.0</v>
      </c>
      <c r="F25" s="23">
        <v>45082.0</v>
      </c>
      <c r="G25" s="24">
        <f t="shared" si="1"/>
        <v>45448</v>
      </c>
      <c r="H25" s="25">
        <f t="shared" si="2"/>
        <v>74760</v>
      </c>
      <c r="I25" s="11" t="str">
        <f t="shared" si="3"/>
        <v>Matured</v>
      </c>
    </row>
    <row r="26" ht="22.5" customHeight="1">
      <c r="A26" s="10" t="s">
        <v>523</v>
      </c>
      <c r="B26" s="10" t="s">
        <v>524</v>
      </c>
      <c r="C26" s="22">
        <v>300000.0</v>
      </c>
      <c r="D26" s="22">
        <v>7.5</v>
      </c>
      <c r="E26" s="22">
        <v>60.0</v>
      </c>
      <c r="F26" s="23">
        <v>43647.0</v>
      </c>
      <c r="G26" s="24">
        <f t="shared" si="1"/>
        <v>45474</v>
      </c>
      <c r="H26" s="25">
        <f t="shared" si="2"/>
        <v>412500</v>
      </c>
      <c r="I26" s="11" t="str">
        <f t="shared" si="3"/>
        <v>Matured</v>
      </c>
    </row>
    <row r="27" ht="22.5" customHeight="1">
      <c r="A27" s="10" t="s">
        <v>525</v>
      </c>
      <c r="B27" s="10" t="s">
        <v>526</v>
      </c>
      <c r="C27" s="22">
        <v>85000.0</v>
      </c>
      <c r="D27" s="22">
        <v>6.9</v>
      </c>
      <c r="E27" s="22">
        <v>24.0</v>
      </c>
      <c r="F27" s="23">
        <v>44824.0</v>
      </c>
      <c r="G27" s="24">
        <f t="shared" si="1"/>
        <v>45555</v>
      </c>
      <c r="H27" s="25">
        <f t="shared" si="2"/>
        <v>96730</v>
      </c>
      <c r="I27" s="11" t="str">
        <f t="shared" si="3"/>
        <v>Matured</v>
      </c>
    </row>
    <row r="28" ht="22.5" customHeight="1">
      <c r="A28" s="10" t="s">
        <v>527</v>
      </c>
      <c r="B28" s="10" t="s">
        <v>528</v>
      </c>
      <c r="C28" s="22">
        <v>105000.0</v>
      </c>
      <c r="D28" s="22">
        <v>7.3</v>
      </c>
      <c r="E28" s="22">
        <v>12.0</v>
      </c>
      <c r="F28" s="23">
        <v>45015.0</v>
      </c>
      <c r="G28" s="24">
        <f t="shared" si="1"/>
        <v>45381</v>
      </c>
      <c r="H28" s="25">
        <f t="shared" si="2"/>
        <v>112665</v>
      </c>
      <c r="I28" s="11" t="str">
        <f t="shared" si="3"/>
        <v>Matured</v>
      </c>
    </row>
    <row r="29" ht="22.5" customHeight="1">
      <c r="A29" s="10" t="s">
        <v>529</v>
      </c>
      <c r="B29" s="10" t="s">
        <v>530</v>
      </c>
      <c r="C29" s="22">
        <v>65000.0</v>
      </c>
      <c r="D29" s="22">
        <v>6.4</v>
      </c>
      <c r="E29" s="22">
        <v>6.0</v>
      </c>
      <c r="F29" s="23">
        <v>45240.0</v>
      </c>
      <c r="G29" s="24">
        <f t="shared" si="1"/>
        <v>45422</v>
      </c>
      <c r="H29" s="25">
        <f t="shared" si="2"/>
        <v>67080</v>
      </c>
      <c r="I29" s="11" t="str">
        <f t="shared" si="3"/>
        <v>Matured</v>
      </c>
    </row>
    <row r="30" ht="22.5" customHeight="1">
      <c r="A30" s="10" t="s">
        <v>531</v>
      </c>
      <c r="B30" s="10" t="s">
        <v>532</v>
      </c>
      <c r="C30" s="22">
        <v>190000.0</v>
      </c>
      <c r="D30" s="22">
        <v>7.7</v>
      </c>
      <c r="E30" s="22">
        <v>36.0</v>
      </c>
      <c r="F30" s="23">
        <v>44423.0</v>
      </c>
      <c r="G30" s="24">
        <f t="shared" si="1"/>
        <v>45519</v>
      </c>
      <c r="H30" s="25">
        <f t="shared" si="2"/>
        <v>233890</v>
      </c>
      <c r="I30" s="11" t="str">
        <f t="shared" si="3"/>
        <v>Matured</v>
      </c>
    </row>
    <row r="31" ht="22.5" customHeight="1">
      <c r="A31" s="10" t="s">
        <v>533</v>
      </c>
      <c r="B31" s="10" t="s">
        <v>534</v>
      </c>
      <c r="C31" s="22">
        <v>95000.0</v>
      </c>
      <c r="D31" s="22">
        <v>7.0</v>
      </c>
      <c r="E31" s="22">
        <v>12.0</v>
      </c>
      <c r="F31" s="23">
        <v>44985.0</v>
      </c>
      <c r="G31" s="24">
        <f t="shared" si="1"/>
        <v>45350</v>
      </c>
      <c r="H31" s="25">
        <f t="shared" si="2"/>
        <v>101650</v>
      </c>
      <c r="I31" s="11" t="str">
        <f t="shared" si="3"/>
        <v>Matured</v>
      </c>
    </row>
    <row r="32" ht="22.5" customHeight="1">
      <c r="A32" s="10" t="s">
        <v>535</v>
      </c>
      <c r="B32" s="10" t="s">
        <v>536</v>
      </c>
      <c r="C32" s="22">
        <v>210000.0</v>
      </c>
      <c r="D32" s="22">
        <v>7.4</v>
      </c>
      <c r="E32" s="22">
        <v>24.0</v>
      </c>
      <c r="F32" s="23">
        <v>44752.0</v>
      </c>
      <c r="G32" s="24">
        <f t="shared" si="1"/>
        <v>45483</v>
      </c>
      <c r="H32" s="25">
        <f t="shared" si="2"/>
        <v>241080</v>
      </c>
      <c r="I32" s="11" t="str">
        <f t="shared" si="3"/>
        <v>Matured</v>
      </c>
    </row>
    <row r="33" ht="22.5" customHeight="1">
      <c r="A33" s="10" t="s">
        <v>537</v>
      </c>
      <c r="B33" s="10" t="s">
        <v>538</v>
      </c>
      <c r="C33" s="22">
        <v>48000.0</v>
      </c>
      <c r="D33" s="22">
        <v>6.6</v>
      </c>
      <c r="E33" s="22">
        <v>12.0</v>
      </c>
      <c r="F33" s="23">
        <v>45028.0</v>
      </c>
      <c r="G33" s="24">
        <f t="shared" si="1"/>
        <v>45394</v>
      </c>
      <c r="H33" s="25">
        <f t="shared" si="2"/>
        <v>51168</v>
      </c>
      <c r="I33" s="11" t="str">
        <f t="shared" si="3"/>
        <v>Matured</v>
      </c>
    </row>
    <row r="34" ht="22.5" customHeight="1">
      <c r="A34" s="10" t="s">
        <v>539</v>
      </c>
      <c r="B34" s="10" t="s">
        <v>540</v>
      </c>
      <c r="C34" s="22">
        <v>155000.0</v>
      </c>
      <c r="D34" s="22">
        <v>7.1</v>
      </c>
      <c r="E34" s="22">
        <v>36.0</v>
      </c>
      <c r="F34" s="23">
        <v>44535.0</v>
      </c>
      <c r="G34" s="24">
        <f t="shared" si="1"/>
        <v>45631</v>
      </c>
      <c r="H34" s="25">
        <f t="shared" si="2"/>
        <v>188015</v>
      </c>
      <c r="I34" s="11" t="str">
        <f t="shared" si="3"/>
        <v>Matured</v>
      </c>
    </row>
    <row r="35" ht="22.5" customHeight="1">
      <c r="A35" s="10" t="s">
        <v>541</v>
      </c>
      <c r="B35" s="10" t="s">
        <v>542</v>
      </c>
      <c r="C35" s="22">
        <v>78000.0</v>
      </c>
      <c r="D35" s="22">
        <v>6.8</v>
      </c>
      <c r="E35" s="22">
        <v>24.0</v>
      </c>
      <c r="F35" s="23">
        <v>44856.0</v>
      </c>
      <c r="G35" s="24">
        <f t="shared" si="1"/>
        <v>45587</v>
      </c>
      <c r="H35" s="25">
        <f t="shared" si="2"/>
        <v>88608</v>
      </c>
      <c r="I35" s="11" t="str">
        <f t="shared" si="3"/>
        <v>Matured</v>
      </c>
    </row>
    <row r="36" ht="22.5" customHeight="1">
      <c r="A36" s="10" t="s">
        <v>543</v>
      </c>
      <c r="B36" s="10" t="s">
        <v>544</v>
      </c>
      <c r="C36" s="22">
        <v>32000.0</v>
      </c>
      <c r="D36" s="22">
        <v>6.3</v>
      </c>
      <c r="E36" s="22">
        <v>6.0</v>
      </c>
      <c r="F36" s="23">
        <v>45174.0</v>
      </c>
      <c r="G36" s="24">
        <f t="shared" si="1"/>
        <v>45356</v>
      </c>
      <c r="H36" s="25">
        <f t="shared" si="2"/>
        <v>33008</v>
      </c>
      <c r="I36" s="11" t="str">
        <f t="shared" si="3"/>
        <v>Matured</v>
      </c>
    </row>
    <row r="37" ht="22.5" customHeight="1">
      <c r="A37" s="10" t="s">
        <v>545</v>
      </c>
      <c r="B37" s="10" t="s">
        <v>546</v>
      </c>
      <c r="C37" s="22">
        <v>600000.0</v>
      </c>
      <c r="D37" s="22">
        <v>8.0</v>
      </c>
      <c r="E37" s="22">
        <v>60.0</v>
      </c>
      <c r="F37" s="23">
        <v>43510.0</v>
      </c>
      <c r="G37" s="24">
        <f t="shared" si="1"/>
        <v>45336</v>
      </c>
      <c r="H37" s="25">
        <f t="shared" si="2"/>
        <v>840000</v>
      </c>
      <c r="I37" s="11" t="str">
        <f t="shared" si="3"/>
        <v>Matured</v>
      </c>
    </row>
    <row r="38" ht="22.5" customHeight="1">
      <c r="A38" s="10" t="s">
        <v>547</v>
      </c>
      <c r="B38" s="10" t="s">
        <v>548</v>
      </c>
      <c r="C38" s="22">
        <v>125000.0</v>
      </c>
      <c r="D38" s="22">
        <v>7.2</v>
      </c>
      <c r="E38" s="22">
        <v>12.0</v>
      </c>
      <c r="F38" s="23">
        <v>45127.0</v>
      </c>
      <c r="G38" s="24">
        <f t="shared" si="1"/>
        <v>45493</v>
      </c>
      <c r="H38" s="25">
        <f t="shared" si="2"/>
        <v>134000</v>
      </c>
      <c r="I38" s="11" t="str">
        <f t="shared" si="3"/>
        <v>Matured</v>
      </c>
    </row>
    <row r="39" ht="22.5" customHeight="1">
      <c r="A39" s="10" t="s">
        <v>549</v>
      </c>
      <c r="B39" s="10" t="s">
        <v>550</v>
      </c>
      <c r="C39" s="22">
        <v>68000.0</v>
      </c>
      <c r="D39" s="22">
        <v>6.7</v>
      </c>
      <c r="E39" s="22">
        <v>24.0</v>
      </c>
      <c r="F39" s="23">
        <v>44895.0</v>
      </c>
      <c r="G39" s="24">
        <f t="shared" si="1"/>
        <v>45626</v>
      </c>
      <c r="H39" s="25">
        <f t="shared" si="2"/>
        <v>77112</v>
      </c>
      <c r="I39" s="11" t="str">
        <f t="shared" si="3"/>
        <v>Matured</v>
      </c>
    </row>
    <row r="40" ht="22.5" customHeight="1">
      <c r="A40" s="10" t="s">
        <v>551</v>
      </c>
      <c r="B40" s="10" t="s">
        <v>552</v>
      </c>
      <c r="C40" s="22">
        <v>175000.0</v>
      </c>
      <c r="D40" s="22">
        <v>7.5</v>
      </c>
      <c r="E40" s="22">
        <v>48.0</v>
      </c>
      <c r="F40" s="23">
        <v>43983.0</v>
      </c>
      <c r="G40" s="24">
        <f t="shared" si="1"/>
        <v>45444</v>
      </c>
      <c r="H40" s="25">
        <f t="shared" si="2"/>
        <v>227500</v>
      </c>
      <c r="I40" s="11" t="str">
        <f t="shared" si="3"/>
        <v>Matured</v>
      </c>
    </row>
    <row r="41" ht="22.5" customHeight="1">
      <c r="A41" s="10" t="s">
        <v>553</v>
      </c>
      <c r="B41" s="10" t="s">
        <v>554</v>
      </c>
      <c r="C41" s="22">
        <v>58000.0</v>
      </c>
      <c r="D41" s="22">
        <v>6.5</v>
      </c>
      <c r="E41" s="22">
        <v>12.0</v>
      </c>
      <c r="F41" s="23">
        <v>44936.0</v>
      </c>
      <c r="G41" s="24">
        <f t="shared" si="1"/>
        <v>45301</v>
      </c>
      <c r="H41" s="25">
        <f t="shared" si="2"/>
        <v>61770</v>
      </c>
      <c r="I41" s="11" t="str">
        <f t="shared" si="3"/>
        <v>Matured</v>
      </c>
    </row>
    <row r="42" ht="22.5" customHeight="1">
      <c r="A42" s="10" t="s">
        <v>555</v>
      </c>
      <c r="B42" s="10" t="s">
        <v>556</v>
      </c>
      <c r="C42" s="22">
        <v>230000.0</v>
      </c>
      <c r="D42" s="22">
        <v>7.6</v>
      </c>
      <c r="E42" s="22">
        <v>36.0</v>
      </c>
      <c r="F42" s="23">
        <v>44464.0</v>
      </c>
      <c r="G42" s="24">
        <f t="shared" si="1"/>
        <v>45560</v>
      </c>
      <c r="H42" s="25">
        <f t="shared" si="2"/>
        <v>282440</v>
      </c>
      <c r="I42" s="11" t="str">
        <f t="shared" si="3"/>
        <v>Matured</v>
      </c>
    </row>
    <row r="43" ht="22.5" customHeight="1">
      <c r="A43" s="10" t="s">
        <v>557</v>
      </c>
      <c r="B43" s="10" t="s">
        <v>558</v>
      </c>
      <c r="C43" s="22">
        <v>88000.0</v>
      </c>
      <c r="D43" s="22">
        <v>6.9</v>
      </c>
      <c r="E43" s="22">
        <v>12.0</v>
      </c>
      <c r="F43" s="23">
        <v>45061.0</v>
      </c>
      <c r="G43" s="24">
        <f t="shared" si="1"/>
        <v>45427</v>
      </c>
      <c r="H43" s="25">
        <f t="shared" si="2"/>
        <v>94072</v>
      </c>
      <c r="I43" s="11" t="str">
        <f t="shared" si="3"/>
        <v>Matured</v>
      </c>
    </row>
    <row r="44" ht="22.5" customHeight="1">
      <c r="A44" s="10" t="s">
        <v>559</v>
      </c>
      <c r="B44" s="10" t="s">
        <v>560</v>
      </c>
      <c r="C44" s="22">
        <v>145000.0</v>
      </c>
      <c r="D44" s="22">
        <v>7.3</v>
      </c>
      <c r="E44" s="22">
        <v>24.0</v>
      </c>
      <c r="F44" s="23">
        <v>44781.0</v>
      </c>
      <c r="G44" s="24">
        <f t="shared" si="1"/>
        <v>45512</v>
      </c>
      <c r="H44" s="25">
        <f t="shared" si="2"/>
        <v>166170</v>
      </c>
      <c r="I44" s="11" t="str">
        <f t="shared" si="3"/>
        <v>Matured</v>
      </c>
    </row>
    <row r="45" ht="22.5" customHeight="1">
      <c r="A45" s="10" t="s">
        <v>561</v>
      </c>
      <c r="B45" s="10" t="s">
        <v>562</v>
      </c>
      <c r="C45" s="22">
        <v>42000.0</v>
      </c>
      <c r="D45" s="22">
        <v>6.4</v>
      </c>
      <c r="E45" s="22">
        <v>6.0</v>
      </c>
      <c r="F45" s="23">
        <v>45219.0</v>
      </c>
      <c r="G45" s="24">
        <f t="shared" si="1"/>
        <v>45402</v>
      </c>
      <c r="H45" s="25">
        <f t="shared" si="2"/>
        <v>43344</v>
      </c>
      <c r="I45" s="11" t="str">
        <f t="shared" si="3"/>
        <v>Matured</v>
      </c>
    </row>
    <row r="46" ht="22.5" customHeight="1">
      <c r="A46" s="10" t="s">
        <v>563</v>
      </c>
      <c r="B46" s="10" t="s">
        <v>564</v>
      </c>
      <c r="C46" s="22">
        <v>280000.0</v>
      </c>
      <c r="D46" s="22">
        <v>7.8</v>
      </c>
      <c r="E46" s="22">
        <v>60.0</v>
      </c>
      <c r="F46" s="23">
        <v>43554.0</v>
      </c>
      <c r="G46" s="24">
        <f t="shared" si="1"/>
        <v>45381</v>
      </c>
      <c r="H46" s="25">
        <f t="shared" si="2"/>
        <v>389200</v>
      </c>
      <c r="I46" s="11" t="str">
        <f t="shared" si="3"/>
        <v>Matured</v>
      </c>
    </row>
    <row r="47" ht="22.5" customHeight="1">
      <c r="A47" s="10" t="s">
        <v>565</v>
      </c>
      <c r="B47" s="10" t="s">
        <v>566</v>
      </c>
      <c r="C47" s="22">
        <v>98000.0</v>
      </c>
      <c r="D47" s="22">
        <v>7.1</v>
      </c>
      <c r="E47" s="22">
        <v>12.0</v>
      </c>
      <c r="F47" s="23">
        <v>44986.0</v>
      </c>
      <c r="G47" s="24">
        <f t="shared" si="1"/>
        <v>45352</v>
      </c>
      <c r="H47" s="25">
        <f t="shared" si="2"/>
        <v>104958</v>
      </c>
      <c r="I47" s="11" t="str">
        <f t="shared" si="3"/>
        <v>Matured</v>
      </c>
    </row>
    <row r="48" ht="22.5" customHeight="1">
      <c r="A48" s="10" t="s">
        <v>567</v>
      </c>
      <c r="B48" s="10" t="s">
        <v>568</v>
      </c>
      <c r="C48" s="22">
        <v>205000.0</v>
      </c>
      <c r="D48" s="22">
        <v>7.4</v>
      </c>
      <c r="E48" s="22">
        <v>24.0</v>
      </c>
      <c r="F48" s="23">
        <v>44693.0</v>
      </c>
      <c r="G48" s="24">
        <f t="shared" si="1"/>
        <v>45424</v>
      </c>
      <c r="H48" s="25">
        <f t="shared" si="2"/>
        <v>235340</v>
      </c>
      <c r="I48" s="11" t="str">
        <f t="shared" si="3"/>
        <v>Matured</v>
      </c>
    </row>
    <row r="49" ht="22.5" customHeight="1">
      <c r="A49" s="10" t="s">
        <v>569</v>
      </c>
      <c r="B49" s="10" t="s">
        <v>570</v>
      </c>
      <c r="C49" s="22">
        <v>72000.0</v>
      </c>
      <c r="D49" s="22">
        <v>6.8</v>
      </c>
      <c r="E49" s="22">
        <v>36.0</v>
      </c>
      <c r="F49" s="23">
        <v>44392.0</v>
      </c>
      <c r="G49" s="24">
        <f t="shared" si="1"/>
        <v>45488</v>
      </c>
      <c r="H49" s="25">
        <f t="shared" si="2"/>
        <v>86688</v>
      </c>
      <c r="I49" s="11" t="str">
        <f t="shared" si="3"/>
        <v>Matured</v>
      </c>
    </row>
    <row r="50" ht="22.5" customHeight="1">
      <c r="A50" s="10" t="s">
        <v>571</v>
      </c>
      <c r="B50" s="10" t="s">
        <v>572</v>
      </c>
      <c r="C50" s="22">
        <v>52000.0</v>
      </c>
      <c r="D50" s="22">
        <v>6.6</v>
      </c>
      <c r="E50" s="22">
        <v>12.0</v>
      </c>
      <c r="F50" s="23">
        <v>45107.0</v>
      </c>
      <c r="G50" s="24">
        <f t="shared" si="1"/>
        <v>45473</v>
      </c>
      <c r="H50" s="25">
        <f t="shared" si="2"/>
        <v>55432</v>
      </c>
      <c r="I50" s="11" t="str">
        <f t="shared" si="3"/>
        <v>Matured</v>
      </c>
    </row>
    <row r="51" ht="22.5" customHeight="1">
      <c r="A51" s="10" t="s">
        <v>573</v>
      </c>
      <c r="B51" s="10" t="s">
        <v>574</v>
      </c>
      <c r="C51" s="22">
        <v>165000.0</v>
      </c>
      <c r="D51" s="22">
        <v>7.2</v>
      </c>
      <c r="E51" s="22">
        <v>24.0</v>
      </c>
      <c r="F51" s="23">
        <v>44896.0</v>
      </c>
      <c r="G51" s="24">
        <f t="shared" si="1"/>
        <v>45627</v>
      </c>
      <c r="H51" s="25">
        <f t="shared" si="2"/>
        <v>188760</v>
      </c>
      <c r="I51" s="11" t="str">
        <f t="shared" si="3"/>
        <v>Matured</v>
      </c>
    </row>
    <row r="52" ht="22.5" customHeight="1">
      <c r="A52" s="10" t="s">
        <v>575</v>
      </c>
      <c r="B52" s="10" t="s">
        <v>576</v>
      </c>
      <c r="C52" s="22">
        <v>38000.0</v>
      </c>
      <c r="D52" s="22">
        <v>6.3</v>
      </c>
      <c r="E52" s="22">
        <v>6.0</v>
      </c>
      <c r="F52" s="23">
        <v>45235.0</v>
      </c>
      <c r="G52" s="24">
        <f t="shared" si="1"/>
        <v>45417</v>
      </c>
      <c r="H52" s="25">
        <f t="shared" si="2"/>
        <v>39197</v>
      </c>
      <c r="I52" s="11" t="str">
        <f t="shared" si="3"/>
        <v>Matured</v>
      </c>
    </row>
  </sheetData>
  <dataValidations>
    <dataValidation type="custom" allowBlank="1" showDropDown="1" sqref="F3:G52">
      <formula1>OR(NOT(ISERROR(DATEVALUE(F3))), AND(ISNUMBER(F3), LEFT(CELL("format", F3))="D"))</formula1>
    </dataValidation>
    <dataValidation type="custom" allowBlank="1" showDropDown="1" sqref="C3:E52 H3:H52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5.75"/>
    <col customWidth="1" min="4" max="4" width="15.88"/>
    <col customWidth="1" min="5" max="5" width="20.13"/>
    <col customWidth="1" min="6" max="6" width="21.63"/>
    <col customWidth="1" min="7" max="7" width="18.5"/>
    <col customWidth="1" min="8" max="8" width="17.25"/>
    <col customWidth="1" min="9" max="9" width="20.0"/>
    <col customWidth="1" min="10" max="10" width="20.5"/>
    <col customWidth="1" min="11" max="11" width="17.75"/>
    <col customWidth="1" min="12" max="12" width="18.88"/>
    <col customWidth="1" min="13" max="13" width="15.88"/>
    <col customWidth="1" min="14" max="14" width="17.63"/>
    <col customWidth="1" min="15" max="15" width="22.63"/>
    <col customWidth="1" min="16" max="16" width="14.25"/>
  </cols>
  <sheetData>
    <row r="2" ht="22.5" customHeight="1">
      <c r="A2" s="2" t="s">
        <v>577</v>
      </c>
      <c r="B2" s="2" t="s">
        <v>109</v>
      </c>
      <c r="C2" s="2" t="s">
        <v>0</v>
      </c>
      <c r="D2" s="2" t="s">
        <v>578</v>
      </c>
      <c r="E2" s="2" t="s">
        <v>579</v>
      </c>
      <c r="F2" s="2" t="s">
        <v>580</v>
      </c>
      <c r="G2" s="2" t="s">
        <v>581</v>
      </c>
      <c r="H2" s="2" t="s">
        <v>471</v>
      </c>
      <c r="I2" s="2" t="s">
        <v>582</v>
      </c>
      <c r="J2" s="26" t="s">
        <v>583</v>
      </c>
      <c r="K2" s="26" t="s">
        <v>584</v>
      </c>
      <c r="L2" s="26" t="s">
        <v>585</v>
      </c>
      <c r="M2" s="26" t="s">
        <v>586</v>
      </c>
      <c r="N2" s="26" t="s">
        <v>587</v>
      </c>
      <c r="O2" s="26" t="s">
        <v>588</v>
      </c>
      <c r="P2" s="2" t="s">
        <v>589</v>
      </c>
    </row>
    <row r="3" ht="22.5" customHeight="1">
      <c r="A3" s="2" t="s">
        <v>590</v>
      </c>
      <c r="B3" s="2" t="s">
        <v>478</v>
      </c>
      <c r="C3" s="3" t="s">
        <v>591</v>
      </c>
      <c r="D3" s="3" t="s">
        <v>592</v>
      </c>
      <c r="E3" s="27">
        <v>44576.0</v>
      </c>
      <c r="F3" s="4">
        <v>500000.0</v>
      </c>
      <c r="G3" s="27">
        <v>44593.0</v>
      </c>
      <c r="H3" s="4">
        <v>12.5</v>
      </c>
      <c r="I3" s="4">
        <v>24.0</v>
      </c>
      <c r="J3" s="28">
        <f t="shared" ref="J3:J52" si="1">(F3 + (F3 * H3/100)) / I3</f>
        <v>23437.5</v>
      </c>
      <c r="K3" s="28">
        <f t="shared" ref="K3:K52" si="2">J3 * I3</f>
        <v>562500</v>
      </c>
      <c r="L3" s="29">
        <f t="shared" ref="L3:L52" si="3">EDATE(G3, 1)</f>
        <v>44621</v>
      </c>
      <c r="M3" s="30">
        <f t="shared" ref="M3:M52" si="4">IF(L3 &gt; TODAY(), 0, DATEDIF(L3, TODAY(), "M"))</f>
        <v>51</v>
      </c>
      <c r="N3" s="28">
        <f t="shared" ref="N3:N52" si="5">J3 * M3</f>
        <v>1195312.5</v>
      </c>
      <c r="O3" s="28">
        <f t="shared" ref="O3:O52" si="6">K3 - N3</f>
        <v>-632812.5</v>
      </c>
      <c r="P3" s="31" t="str">
        <f t="shared" ref="P3:P52" si="7">IF(O3 &lt;= 0, "Loan Paid", "Not Paid Yet")</f>
        <v>Loan Paid</v>
      </c>
    </row>
    <row r="4" ht="22.5" customHeight="1">
      <c r="A4" s="2" t="s">
        <v>593</v>
      </c>
      <c r="B4" s="2" t="s">
        <v>480</v>
      </c>
      <c r="C4" s="3" t="s">
        <v>594</v>
      </c>
      <c r="D4" s="3" t="s">
        <v>595</v>
      </c>
      <c r="E4" s="27">
        <v>44630.0</v>
      </c>
      <c r="F4" s="4">
        <v>800000.0</v>
      </c>
      <c r="G4" s="27">
        <v>44640.0</v>
      </c>
      <c r="H4" s="4">
        <v>9.0</v>
      </c>
      <c r="I4" s="4">
        <v>36.0</v>
      </c>
      <c r="J4" s="28">
        <f t="shared" si="1"/>
        <v>24222.22222</v>
      </c>
      <c r="K4" s="28">
        <f t="shared" si="2"/>
        <v>872000</v>
      </c>
      <c r="L4" s="29">
        <f t="shared" si="3"/>
        <v>44671</v>
      </c>
      <c r="M4" s="30">
        <f t="shared" si="4"/>
        <v>49</v>
      </c>
      <c r="N4" s="28">
        <f t="shared" si="5"/>
        <v>1186888.889</v>
      </c>
      <c r="O4" s="28">
        <f t="shared" si="6"/>
        <v>-314888.8889</v>
      </c>
      <c r="P4" s="31" t="str">
        <f t="shared" si="7"/>
        <v>Loan Paid</v>
      </c>
    </row>
    <row r="5" ht="22.5" customHeight="1">
      <c r="A5" s="2" t="s">
        <v>596</v>
      </c>
      <c r="B5" s="2" t="s">
        <v>482</v>
      </c>
      <c r="C5" s="3" t="s">
        <v>591</v>
      </c>
      <c r="D5" s="3" t="s">
        <v>597</v>
      </c>
      <c r="E5" s="27">
        <v>44352.0</v>
      </c>
      <c r="F5" s="4">
        <v>5000000.0</v>
      </c>
      <c r="G5" s="27">
        <v>44378.0</v>
      </c>
      <c r="H5" s="4">
        <v>8.5</v>
      </c>
      <c r="I5" s="4">
        <v>120.0</v>
      </c>
      <c r="J5" s="28">
        <f t="shared" si="1"/>
        <v>45208.33333</v>
      </c>
      <c r="K5" s="28">
        <f t="shared" si="2"/>
        <v>5425000</v>
      </c>
      <c r="L5" s="29">
        <f t="shared" si="3"/>
        <v>44409</v>
      </c>
      <c r="M5" s="30">
        <f t="shared" si="4"/>
        <v>58</v>
      </c>
      <c r="N5" s="28">
        <f t="shared" si="5"/>
        <v>2622083.333</v>
      </c>
      <c r="O5" s="28">
        <f t="shared" si="6"/>
        <v>2802916.667</v>
      </c>
      <c r="P5" s="31" t="str">
        <f t="shared" si="7"/>
        <v>Not Paid Yet</v>
      </c>
    </row>
    <row r="6" ht="22.5" customHeight="1">
      <c r="A6" s="2" t="s">
        <v>598</v>
      </c>
      <c r="B6" s="2" t="s">
        <v>484</v>
      </c>
      <c r="C6" s="3" t="s">
        <v>599</v>
      </c>
      <c r="D6" s="3" t="s">
        <v>592</v>
      </c>
      <c r="E6" s="27">
        <v>45058.0</v>
      </c>
      <c r="F6" s="4">
        <v>200000.0</v>
      </c>
      <c r="G6" s="27">
        <v>45066.0</v>
      </c>
      <c r="H6" s="4">
        <v>11.0</v>
      </c>
      <c r="I6" s="4">
        <v>12.0</v>
      </c>
      <c r="J6" s="28">
        <f t="shared" si="1"/>
        <v>18500</v>
      </c>
      <c r="K6" s="28">
        <f t="shared" si="2"/>
        <v>222000</v>
      </c>
      <c r="L6" s="29">
        <f t="shared" si="3"/>
        <v>45097</v>
      </c>
      <c r="M6" s="30">
        <f t="shared" si="4"/>
        <v>35</v>
      </c>
      <c r="N6" s="28">
        <f t="shared" si="5"/>
        <v>647500</v>
      </c>
      <c r="O6" s="28">
        <f t="shared" si="6"/>
        <v>-425500</v>
      </c>
      <c r="P6" s="31" t="str">
        <f t="shared" si="7"/>
        <v>Loan Paid</v>
      </c>
    </row>
    <row r="7" ht="22.5" customHeight="1">
      <c r="A7" s="2" t="s">
        <v>600</v>
      </c>
      <c r="B7" s="2" t="s">
        <v>486</v>
      </c>
      <c r="C7" s="3" t="s">
        <v>601</v>
      </c>
      <c r="D7" s="3" t="s">
        <v>595</v>
      </c>
      <c r="E7" s="27">
        <v>44885.0</v>
      </c>
      <c r="F7" s="4">
        <v>1200000.0</v>
      </c>
      <c r="G7" s="27">
        <v>44896.0</v>
      </c>
      <c r="H7" s="4">
        <v>8.5</v>
      </c>
      <c r="I7" s="4">
        <v>48.0</v>
      </c>
      <c r="J7" s="28">
        <f t="shared" si="1"/>
        <v>27125</v>
      </c>
      <c r="K7" s="28">
        <f t="shared" si="2"/>
        <v>1302000</v>
      </c>
      <c r="L7" s="29">
        <f t="shared" si="3"/>
        <v>44927</v>
      </c>
      <c r="M7" s="30">
        <f t="shared" si="4"/>
        <v>41</v>
      </c>
      <c r="N7" s="28">
        <f t="shared" si="5"/>
        <v>1112125</v>
      </c>
      <c r="O7" s="28">
        <f t="shared" si="6"/>
        <v>189875</v>
      </c>
      <c r="P7" s="31" t="str">
        <f t="shared" si="7"/>
        <v>Not Paid Yet</v>
      </c>
    </row>
    <row r="8" ht="22.5" customHeight="1">
      <c r="A8" s="2" t="s">
        <v>602</v>
      </c>
      <c r="B8" s="2" t="s">
        <v>488</v>
      </c>
      <c r="C8" s="3" t="s">
        <v>591</v>
      </c>
      <c r="D8" s="3" t="s">
        <v>597</v>
      </c>
      <c r="E8" s="27">
        <v>44449.0</v>
      </c>
      <c r="F8" s="4">
        <v>3000000.0</v>
      </c>
      <c r="G8" s="27">
        <v>44470.0</v>
      </c>
      <c r="H8" s="4">
        <v>7.5</v>
      </c>
      <c r="I8" s="4">
        <v>84.0</v>
      </c>
      <c r="J8" s="28">
        <f t="shared" si="1"/>
        <v>38392.85714</v>
      </c>
      <c r="K8" s="28">
        <f t="shared" si="2"/>
        <v>3225000</v>
      </c>
      <c r="L8" s="29">
        <f t="shared" si="3"/>
        <v>44501</v>
      </c>
      <c r="M8" s="30">
        <f t="shared" si="4"/>
        <v>55</v>
      </c>
      <c r="N8" s="28">
        <f t="shared" si="5"/>
        <v>2111607.143</v>
      </c>
      <c r="O8" s="28">
        <f t="shared" si="6"/>
        <v>1113392.857</v>
      </c>
      <c r="P8" s="31" t="str">
        <f t="shared" si="7"/>
        <v>Not Paid Yet</v>
      </c>
    </row>
    <row r="9" ht="22.5" customHeight="1">
      <c r="A9" s="2" t="s">
        <v>603</v>
      </c>
      <c r="B9" s="2" t="s">
        <v>490</v>
      </c>
      <c r="C9" s="3" t="s">
        <v>594</v>
      </c>
      <c r="D9" s="3" t="s">
        <v>592</v>
      </c>
      <c r="E9" s="27">
        <v>45139.0</v>
      </c>
      <c r="F9" s="4">
        <v>150000.0</v>
      </c>
      <c r="G9" s="27">
        <v>45153.0</v>
      </c>
      <c r="H9" s="4">
        <v>13.0</v>
      </c>
      <c r="I9" s="4">
        <v>18.0</v>
      </c>
      <c r="J9" s="28">
        <f t="shared" si="1"/>
        <v>9416.666667</v>
      </c>
      <c r="K9" s="28">
        <f t="shared" si="2"/>
        <v>169500</v>
      </c>
      <c r="L9" s="29">
        <f t="shared" si="3"/>
        <v>45184</v>
      </c>
      <c r="M9" s="30">
        <f t="shared" si="4"/>
        <v>32</v>
      </c>
      <c r="N9" s="28">
        <f t="shared" si="5"/>
        <v>301333.3333</v>
      </c>
      <c r="O9" s="28">
        <f t="shared" si="6"/>
        <v>-131833.3333</v>
      </c>
      <c r="P9" s="31" t="str">
        <f t="shared" si="7"/>
        <v>Loan Paid</v>
      </c>
    </row>
    <row r="10" ht="22.5" customHeight="1">
      <c r="A10" s="2" t="s">
        <v>604</v>
      </c>
      <c r="B10" s="2" t="s">
        <v>492</v>
      </c>
      <c r="C10" s="3" t="s">
        <v>599</v>
      </c>
      <c r="D10" s="3" t="s">
        <v>595</v>
      </c>
      <c r="E10" s="27">
        <v>44620.0</v>
      </c>
      <c r="F10" s="4">
        <v>600000.0</v>
      </c>
      <c r="G10" s="27">
        <v>44630.0</v>
      </c>
      <c r="H10" s="4">
        <v>9.5</v>
      </c>
      <c r="I10" s="4">
        <v>30.0</v>
      </c>
      <c r="J10" s="28">
        <f t="shared" si="1"/>
        <v>21900</v>
      </c>
      <c r="K10" s="28">
        <f t="shared" si="2"/>
        <v>657000</v>
      </c>
      <c r="L10" s="29">
        <f t="shared" si="3"/>
        <v>44661</v>
      </c>
      <c r="M10" s="30">
        <f t="shared" si="4"/>
        <v>50</v>
      </c>
      <c r="N10" s="28">
        <f t="shared" si="5"/>
        <v>1095000</v>
      </c>
      <c r="O10" s="28">
        <f t="shared" si="6"/>
        <v>-438000</v>
      </c>
      <c r="P10" s="31" t="str">
        <f t="shared" si="7"/>
        <v>Loan Paid</v>
      </c>
    </row>
    <row r="11" ht="22.5" customHeight="1">
      <c r="A11" s="2" t="s">
        <v>605</v>
      </c>
      <c r="B11" s="2" t="s">
        <v>494</v>
      </c>
      <c r="C11" s="3" t="s">
        <v>601</v>
      </c>
      <c r="D11" s="3" t="s">
        <v>597</v>
      </c>
      <c r="E11" s="27">
        <v>43966.0</v>
      </c>
      <c r="F11" s="4">
        <v>2000000.0</v>
      </c>
      <c r="G11" s="27">
        <v>43983.0</v>
      </c>
      <c r="H11" s="4">
        <v>9.0</v>
      </c>
      <c r="I11" s="4">
        <v>60.0</v>
      </c>
      <c r="J11" s="28">
        <f t="shared" si="1"/>
        <v>36333.33333</v>
      </c>
      <c r="K11" s="28">
        <f t="shared" si="2"/>
        <v>2180000</v>
      </c>
      <c r="L11" s="29">
        <f t="shared" si="3"/>
        <v>44013</v>
      </c>
      <c r="M11" s="30">
        <f t="shared" si="4"/>
        <v>71</v>
      </c>
      <c r="N11" s="28">
        <f t="shared" si="5"/>
        <v>2579666.667</v>
      </c>
      <c r="O11" s="28">
        <f t="shared" si="6"/>
        <v>-399666.6667</v>
      </c>
      <c r="P11" s="31" t="str">
        <f t="shared" si="7"/>
        <v>Loan Paid</v>
      </c>
    </row>
    <row r="12" ht="22.5" customHeight="1">
      <c r="A12" s="2" t="s">
        <v>606</v>
      </c>
      <c r="B12" s="2" t="s">
        <v>496</v>
      </c>
      <c r="C12" s="3" t="s">
        <v>591</v>
      </c>
      <c r="D12" s="3" t="s">
        <v>592</v>
      </c>
      <c r="E12" s="27">
        <v>44946.0</v>
      </c>
      <c r="F12" s="4">
        <v>300000.0</v>
      </c>
      <c r="G12" s="27">
        <v>44958.0</v>
      </c>
      <c r="H12" s="4">
        <v>12.0</v>
      </c>
      <c r="I12" s="4">
        <v>24.0</v>
      </c>
      <c r="J12" s="28">
        <f t="shared" si="1"/>
        <v>14000</v>
      </c>
      <c r="K12" s="28">
        <f t="shared" si="2"/>
        <v>336000</v>
      </c>
      <c r="L12" s="29">
        <f t="shared" si="3"/>
        <v>44986</v>
      </c>
      <c r="M12" s="30">
        <f t="shared" si="4"/>
        <v>39</v>
      </c>
      <c r="N12" s="28">
        <f t="shared" si="5"/>
        <v>546000</v>
      </c>
      <c r="O12" s="28">
        <f t="shared" si="6"/>
        <v>-210000</v>
      </c>
      <c r="P12" s="31" t="str">
        <f t="shared" si="7"/>
        <v>Loan Paid</v>
      </c>
    </row>
    <row r="13" ht="22.5" customHeight="1">
      <c r="A13" s="2" t="s">
        <v>607</v>
      </c>
      <c r="B13" s="2" t="s">
        <v>498</v>
      </c>
      <c r="C13" s="3" t="s">
        <v>594</v>
      </c>
      <c r="D13" s="3" t="s">
        <v>595</v>
      </c>
      <c r="E13" s="27">
        <v>44535.0</v>
      </c>
      <c r="F13" s="4">
        <v>900000.0</v>
      </c>
      <c r="G13" s="27">
        <v>44545.0</v>
      </c>
      <c r="H13" s="4">
        <v>8.0</v>
      </c>
      <c r="I13" s="4">
        <v>36.0</v>
      </c>
      <c r="J13" s="28">
        <f t="shared" si="1"/>
        <v>27000</v>
      </c>
      <c r="K13" s="28">
        <f t="shared" si="2"/>
        <v>972000</v>
      </c>
      <c r="L13" s="29">
        <f t="shared" si="3"/>
        <v>44576</v>
      </c>
      <c r="M13" s="30">
        <f t="shared" si="4"/>
        <v>52</v>
      </c>
      <c r="N13" s="28">
        <f t="shared" si="5"/>
        <v>1404000</v>
      </c>
      <c r="O13" s="28">
        <f t="shared" si="6"/>
        <v>-432000</v>
      </c>
      <c r="P13" s="31" t="str">
        <f t="shared" si="7"/>
        <v>Loan Paid</v>
      </c>
    </row>
    <row r="14" ht="22.5" customHeight="1">
      <c r="A14" s="2" t="s">
        <v>608</v>
      </c>
      <c r="B14" s="2" t="s">
        <v>500</v>
      </c>
      <c r="C14" s="3" t="s">
        <v>599</v>
      </c>
      <c r="D14" s="3" t="s">
        <v>597</v>
      </c>
      <c r="E14" s="27">
        <v>44661.0</v>
      </c>
      <c r="F14" s="4">
        <v>4000000.0</v>
      </c>
      <c r="G14" s="27">
        <v>44682.0</v>
      </c>
      <c r="H14" s="4">
        <v>8.2</v>
      </c>
      <c r="I14" s="4">
        <v>96.0</v>
      </c>
      <c r="J14" s="28">
        <f t="shared" si="1"/>
        <v>45083.33333</v>
      </c>
      <c r="K14" s="28">
        <f t="shared" si="2"/>
        <v>4328000</v>
      </c>
      <c r="L14" s="29">
        <f t="shared" si="3"/>
        <v>44713</v>
      </c>
      <c r="M14" s="30">
        <f t="shared" si="4"/>
        <v>48</v>
      </c>
      <c r="N14" s="28">
        <f t="shared" si="5"/>
        <v>2164000</v>
      </c>
      <c r="O14" s="28">
        <f t="shared" si="6"/>
        <v>2164000</v>
      </c>
      <c r="P14" s="31" t="str">
        <f t="shared" si="7"/>
        <v>Not Paid Yet</v>
      </c>
    </row>
    <row r="15" ht="22.5" customHeight="1">
      <c r="A15" s="2" t="s">
        <v>609</v>
      </c>
      <c r="B15" s="2" t="s">
        <v>502</v>
      </c>
      <c r="C15" s="3" t="s">
        <v>601</v>
      </c>
      <c r="D15" s="3" t="s">
        <v>592</v>
      </c>
      <c r="E15" s="27">
        <v>45200.0</v>
      </c>
      <c r="F15" s="4">
        <v>100000.0</v>
      </c>
      <c r="G15" s="27">
        <v>45209.0</v>
      </c>
      <c r="H15" s="4">
        <v>10.5</v>
      </c>
      <c r="I15" s="4">
        <v>12.0</v>
      </c>
      <c r="J15" s="28">
        <f t="shared" si="1"/>
        <v>9208.333333</v>
      </c>
      <c r="K15" s="28">
        <f t="shared" si="2"/>
        <v>110500</v>
      </c>
      <c r="L15" s="29">
        <f t="shared" si="3"/>
        <v>45240</v>
      </c>
      <c r="M15" s="30">
        <f t="shared" si="4"/>
        <v>31</v>
      </c>
      <c r="N15" s="28">
        <f t="shared" si="5"/>
        <v>285458.3333</v>
      </c>
      <c r="O15" s="28">
        <f t="shared" si="6"/>
        <v>-174958.3333</v>
      </c>
      <c r="P15" s="31" t="str">
        <f t="shared" si="7"/>
        <v>Loan Paid</v>
      </c>
    </row>
    <row r="16" ht="22.5" customHeight="1">
      <c r="A16" s="2" t="s">
        <v>610</v>
      </c>
      <c r="B16" s="2" t="s">
        <v>504</v>
      </c>
      <c r="C16" s="3" t="s">
        <v>591</v>
      </c>
      <c r="D16" s="3" t="s">
        <v>595</v>
      </c>
      <c r="E16" s="27">
        <v>44762.0</v>
      </c>
      <c r="F16" s="4">
        <v>700000.0</v>
      </c>
      <c r="G16" s="27">
        <v>44774.0</v>
      </c>
      <c r="H16" s="4">
        <v>9.2</v>
      </c>
      <c r="I16" s="4">
        <v>42.0</v>
      </c>
      <c r="J16" s="28">
        <f t="shared" si="1"/>
        <v>18200</v>
      </c>
      <c r="K16" s="28">
        <f t="shared" si="2"/>
        <v>764400</v>
      </c>
      <c r="L16" s="29">
        <f t="shared" si="3"/>
        <v>44805</v>
      </c>
      <c r="M16" s="30">
        <f t="shared" si="4"/>
        <v>45</v>
      </c>
      <c r="N16" s="28">
        <f t="shared" si="5"/>
        <v>819000</v>
      </c>
      <c r="O16" s="28">
        <f t="shared" si="6"/>
        <v>-54600</v>
      </c>
      <c r="P16" s="31" t="str">
        <f t="shared" si="7"/>
        <v>Loan Paid</v>
      </c>
    </row>
    <row r="17" ht="22.5" customHeight="1">
      <c r="A17" s="2" t="s">
        <v>611</v>
      </c>
      <c r="B17" s="2" t="s">
        <v>506</v>
      </c>
      <c r="C17" s="3" t="s">
        <v>594</v>
      </c>
      <c r="D17" s="3" t="s">
        <v>597</v>
      </c>
      <c r="E17" s="27">
        <v>44241.0</v>
      </c>
      <c r="F17" s="4">
        <v>6000000.0</v>
      </c>
      <c r="G17" s="27">
        <v>44256.0</v>
      </c>
      <c r="H17" s="4">
        <v>7.0</v>
      </c>
      <c r="I17" s="4">
        <v>144.0</v>
      </c>
      <c r="J17" s="28">
        <f t="shared" si="1"/>
        <v>44583.33333</v>
      </c>
      <c r="K17" s="28">
        <f t="shared" si="2"/>
        <v>6420000</v>
      </c>
      <c r="L17" s="29">
        <f t="shared" si="3"/>
        <v>44287</v>
      </c>
      <c r="M17" s="30">
        <f t="shared" si="4"/>
        <v>62</v>
      </c>
      <c r="N17" s="28">
        <f t="shared" si="5"/>
        <v>2764166.667</v>
      </c>
      <c r="O17" s="28">
        <f t="shared" si="6"/>
        <v>3655833.333</v>
      </c>
      <c r="P17" s="31" t="str">
        <f t="shared" si="7"/>
        <v>Not Paid Yet</v>
      </c>
    </row>
    <row r="18" ht="22.5" customHeight="1">
      <c r="A18" s="2" t="s">
        <v>612</v>
      </c>
      <c r="B18" s="2" t="s">
        <v>508</v>
      </c>
      <c r="C18" s="3" t="s">
        <v>599</v>
      </c>
      <c r="D18" s="3" t="s">
        <v>592</v>
      </c>
      <c r="E18" s="27">
        <v>45010.0</v>
      </c>
      <c r="F18" s="4">
        <v>250000.0</v>
      </c>
      <c r="G18" s="27">
        <v>45017.0</v>
      </c>
      <c r="H18" s="4">
        <v>11.5</v>
      </c>
      <c r="I18" s="4">
        <v>18.0</v>
      </c>
      <c r="J18" s="28">
        <f t="shared" si="1"/>
        <v>15486.11111</v>
      </c>
      <c r="K18" s="28">
        <f t="shared" si="2"/>
        <v>278750</v>
      </c>
      <c r="L18" s="29">
        <f t="shared" si="3"/>
        <v>45047</v>
      </c>
      <c r="M18" s="30">
        <f t="shared" si="4"/>
        <v>37</v>
      </c>
      <c r="N18" s="28">
        <f t="shared" si="5"/>
        <v>572986.1111</v>
      </c>
      <c r="O18" s="28">
        <f t="shared" si="6"/>
        <v>-294236.1111</v>
      </c>
      <c r="P18" s="31" t="str">
        <f t="shared" si="7"/>
        <v>Loan Paid</v>
      </c>
    </row>
    <row r="19" ht="22.5" customHeight="1">
      <c r="A19" s="2" t="s">
        <v>613</v>
      </c>
      <c r="B19" s="2" t="s">
        <v>510</v>
      </c>
      <c r="C19" s="3" t="s">
        <v>601</v>
      </c>
      <c r="D19" s="3" t="s">
        <v>595</v>
      </c>
      <c r="E19" s="27">
        <v>44834.0</v>
      </c>
      <c r="F19" s="4">
        <v>1100000.0</v>
      </c>
      <c r="G19" s="27">
        <v>44849.0</v>
      </c>
      <c r="H19" s="4">
        <v>8.8</v>
      </c>
      <c r="I19" s="4">
        <v>48.0</v>
      </c>
      <c r="J19" s="28">
        <f t="shared" si="1"/>
        <v>24933.33333</v>
      </c>
      <c r="K19" s="28">
        <f t="shared" si="2"/>
        <v>1196800</v>
      </c>
      <c r="L19" s="29">
        <f t="shared" si="3"/>
        <v>44880</v>
      </c>
      <c r="M19" s="30">
        <f t="shared" si="4"/>
        <v>42</v>
      </c>
      <c r="N19" s="28">
        <f t="shared" si="5"/>
        <v>1047200</v>
      </c>
      <c r="O19" s="28">
        <f t="shared" si="6"/>
        <v>149600</v>
      </c>
      <c r="P19" s="31" t="str">
        <f t="shared" si="7"/>
        <v>Not Paid Yet</v>
      </c>
    </row>
    <row r="20" ht="22.5" customHeight="1">
      <c r="A20" s="2" t="s">
        <v>614</v>
      </c>
      <c r="B20" s="2" t="s">
        <v>512</v>
      </c>
      <c r="C20" s="3" t="s">
        <v>591</v>
      </c>
      <c r="D20" s="3" t="s">
        <v>597</v>
      </c>
      <c r="E20" s="27">
        <v>44146.0</v>
      </c>
      <c r="F20" s="4">
        <v>2500000.0</v>
      </c>
      <c r="G20" s="27">
        <v>44166.0</v>
      </c>
      <c r="H20" s="4">
        <v>8.5</v>
      </c>
      <c r="I20" s="4">
        <v>72.0</v>
      </c>
      <c r="J20" s="28">
        <f t="shared" si="1"/>
        <v>37673.61111</v>
      </c>
      <c r="K20" s="28">
        <f t="shared" si="2"/>
        <v>2712500</v>
      </c>
      <c r="L20" s="29">
        <f t="shared" si="3"/>
        <v>44197</v>
      </c>
      <c r="M20" s="30">
        <f t="shared" si="4"/>
        <v>65</v>
      </c>
      <c r="N20" s="28">
        <f t="shared" si="5"/>
        <v>2448784.722</v>
      </c>
      <c r="O20" s="28">
        <f t="shared" si="6"/>
        <v>263715.2778</v>
      </c>
      <c r="P20" s="31" t="str">
        <f t="shared" si="7"/>
        <v>Not Paid Yet</v>
      </c>
    </row>
    <row r="21" ht="22.5" customHeight="1">
      <c r="A21" s="2" t="s">
        <v>615</v>
      </c>
      <c r="B21" s="2" t="s">
        <v>514</v>
      </c>
      <c r="C21" s="3" t="s">
        <v>594</v>
      </c>
      <c r="D21" s="3" t="s">
        <v>592</v>
      </c>
      <c r="E21" s="27">
        <v>45092.0</v>
      </c>
      <c r="F21" s="4">
        <v>400000.0</v>
      </c>
      <c r="G21" s="27">
        <v>45108.0</v>
      </c>
      <c r="H21" s="4">
        <v>12.5</v>
      </c>
      <c r="I21" s="4">
        <v>30.0</v>
      </c>
      <c r="J21" s="28">
        <f t="shared" si="1"/>
        <v>15000</v>
      </c>
      <c r="K21" s="28">
        <f t="shared" si="2"/>
        <v>450000</v>
      </c>
      <c r="L21" s="29">
        <f t="shared" si="3"/>
        <v>45139</v>
      </c>
      <c r="M21" s="30">
        <f t="shared" si="4"/>
        <v>34</v>
      </c>
      <c r="N21" s="28">
        <f t="shared" si="5"/>
        <v>510000</v>
      </c>
      <c r="O21" s="28">
        <f t="shared" si="6"/>
        <v>-60000</v>
      </c>
      <c r="P21" s="31" t="str">
        <f t="shared" si="7"/>
        <v>Loan Paid</v>
      </c>
    </row>
    <row r="22" ht="22.5" customHeight="1">
      <c r="A22" s="2" t="s">
        <v>616</v>
      </c>
      <c r="B22" s="2" t="s">
        <v>516</v>
      </c>
      <c r="C22" s="3" t="s">
        <v>599</v>
      </c>
      <c r="D22" s="3" t="s">
        <v>595</v>
      </c>
      <c r="E22" s="27">
        <v>44413.0</v>
      </c>
      <c r="F22" s="4">
        <v>500000.0</v>
      </c>
      <c r="G22" s="27">
        <v>44428.0</v>
      </c>
      <c r="H22" s="4">
        <v>10.0</v>
      </c>
      <c r="I22" s="4">
        <v>24.0</v>
      </c>
      <c r="J22" s="28">
        <f t="shared" si="1"/>
        <v>22916.66667</v>
      </c>
      <c r="K22" s="28">
        <f t="shared" si="2"/>
        <v>550000</v>
      </c>
      <c r="L22" s="29">
        <f t="shared" si="3"/>
        <v>44459</v>
      </c>
      <c r="M22" s="30">
        <f t="shared" si="4"/>
        <v>56</v>
      </c>
      <c r="N22" s="28">
        <f t="shared" si="5"/>
        <v>1283333.333</v>
      </c>
      <c r="O22" s="28">
        <f t="shared" si="6"/>
        <v>-733333.3333</v>
      </c>
      <c r="P22" s="31" t="str">
        <f t="shared" si="7"/>
        <v>Loan Paid</v>
      </c>
    </row>
    <row r="23" ht="22.5" customHeight="1">
      <c r="A23" s="2" t="s">
        <v>617</v>
      </c>
      <c r="B23" s="2" t="s">
        <v>518</v>
      </c>
      <c r="C23" s="3" t="s">
        <v>601</v>
      </c>
      <c r="D23" s="3" t="s">
        <v>597</v>
      </c>
      <c r="E23" s="27">
        <v>44581.0</v>
      </c>
      <c r="F23" s="4">
        <v>3500000.0</v>
      </c>
      <c r="G23" s="27">
        <v>44602.0</v>
      </c>
      <c r="H23" s="4">
        <v>7.8</v>
      </c>
      <c r="I23" s="4">
        <v>108.0</v>
      </c>
      <c r="J23" s="28">
        <f t="shared" si="1"/>
        <v>34935.18519</v>
      </c>
      <c r="K23" s="28">
        <f t="shared" si="2"/>
        <v>3773000</v>
      </c>
      <c r="L23" s="29">
        <f t="shared" si="3"/>
        <v>44630</v>
      </c>
      <c r="M23" s="30">
        <f t="shared" si="4"/>
        <v>51</v>
      </c>
      <c r="N23" s="28">
        <f t="shared" si="5"/>
        <v>1781694.444</v>
      </c>
      <c r="O23" s="28">
        <f t="shared" si="6"/>
        <v>1991305.556</v>
      </c>
      <c r="P23" s="31" t="str">
        <f t="shared" si="7"/>
        <v>Not Paid Yet</v>
      </c>
    </row>
    <row r="24" ht="22.5" customHeight="1">
      <c r="A24" s="2" t="s">
        <v>618</v>
      </c>
      <c r="B24" s="2" t="s">
        <v>520</v>
      </c>
      <c r="C24" s="3" t="s">
        <v>591</v>
      </c>
      <c r="D24" s="3" t="s">
        <v>592</v>
      </c>
      <c r="E24" s="27">
        <v>45240.0</v>
      </c>
      <c r="F24" s="4">
        <v>180000.0</v>
      </c>
      <c r="G24" s="27">
        <v>45250.0</v>
      </c>
      <c r="H24" s="4">
        <v>11.0</v>
      </c>
      <c r="I24" s="4">
        <v>12.0</v>
      </c>
      <c r="J24" s="28">
        <f t="shared" si="1"/>
        <v>16650</v>
      </c>
      <c r="K24" s="28">
        <f t="shared" si="2"/>
        <v>199800</v>
      </c>
      <c r="L24" s="29">
        <f t="shared" si="3"/>
        <v>45280</v>
      </c>
      <c r="M24" s="30">
        <f t="shared" si="4"/>
        <v>29</v>
      </c>
      <c r="N24" s="28">
        <f t="shared" si="5"/>
        <v>482850</v>
      </c>
      <c r="O24" s="28">
        <f t="shared" si="6"/>
        <v>-283050</v>
      </c>
      <c r="P24" s="31" t="str">
        <f t="shared" si="7"/>
        <v>Loan Paid</v>
      </c>
    </row>
    <row r="25" ht="22.5" customHeight="1">
      <c r="A25" s="2" t="s">
        <v>619</v>
      </c>
      <c r="B25" s="2" t="s">
        <v>522</v>
      </c>
      <c r="C25" s="3" t="s">
        <v>594</v>
      </c>
      <c r="D25" s="3" t="s">
        <v>595</v>
      </c>
      <c r="E25" s="27">
        <v>44706.0</v>
      </c>
      <c r="F25" s="4">
        <v>950000.0</v>
      </c>
      <c r="G25" s="27">
        <v>44722.0</v>
      </c>
      <c r="H25" s="4">
        <v>9.1</v>
      </c>
      <c r="I25" s="4">
        <v>36.0</v>
      </c>
      <c r="J25" s="28">
        <f t="shared" si="1"/>
        <v>28790.27778</v>
      </c>
      <c r="K25" s="28">
        <f t="shared" si="2"/>
        <v>1036450</v>
      </c>
      <c r="L25" s="29">
        <f t="shared" si="3"/>
        <v>44752</v>
      </c>
      <c r="M25" s="30">
        <f t="shared" si="4"/>
        <v>47</v>
      </c>
      <c r="N25" s="28">
        <f t="shared" si="5"/>
        <v>1353143.056</v>
      </c>
      <c r="O25" s="28">
        <f t="shared" si="6"/>
        <v>-316693.0556</v>
      </c>
      <c r="P25" s="31" t="str">
        <f t="shared" si="7"/>
        <v>Loan Paid</v>
      </c>
    </row>
    <row r="26" ht="22.5" customHeight="1">
      <c r="A26" s="2" t="s">
        <v>620</v>
      </c>
      <c r="B26" s="2" t="s">
        <v>524</v>
      </c>
      <c r="C26" s="3" t="s">
        <v>599</v>
      </c>
      <c r="D26" s="3" t="s">
        <v>597</v>
      </c>
      <c r="E26" s="27">
        <v>44407.0</v>
      </c>
      <c r="F26" s="4">
        <v>1500000.0</v>
      </c>
      <c r="G26" s="27">
        <v>44423.0</v>
      </c>
      <c r="H26" s="4">
        <v>8.0</v>
      </c>
      <c r="I26" s="4">
        <v>60.0</v>
      </c>
      <c r="J26" s="28">
        <f t="shared" si="1"/>
        <v>27000</v>
      </c>
      <c r="K26" s="28">
        <f t="shared" si="2"/>
        <v>1620000</v>
      </c>
      <c r="L26" s="29">
        <f t="shared" si="3"/>
        <v>44454</v>
      </c>
      <c r="M26" s="30">
        <f t="shared" si="4"/>
        <v>56</v>
      </c>
      <c r="N26" s="28">
        <f t="shared" si="5"/>
        <v>1512000</v>
      </c>
      <c r="O26" s="28">
        <f t="shared" si="6"/>
        <v>108000</v>
      </c>
      <c r="P26" s="31" t="str">
        <f t="shared" si="7"/>
        <v>Not Paid Yet</v>
      </c>
    </row>
    <row r="27" ht="22.5" customHeight="1">
      <c r="A27" s="2" t="s">
        <v>621</v>
      </c>
      <c r="B27" s="2" t="s">
        <v>526</v>
      </c>
      <c r="C27" s="3" t="s">
        <v>601</v>
      </c>
      <c r="D27" s="3" t="s">
        <v>592</v>
      </c>
      <c r="E27" s="27">
        <v>44965.0</v>
      </c>
      <c r="F27" s="4">
        <v>220000.0</v>
      </c>
      <c r="G27" s="27">
        <v>44977.0</v>
      </c>
      <c r="H27" s="4">
        <v>13.5</v>
      </c>
      <c r="I27" s="4">
        <v>24.0</v>
      </c>
      <c r="J27" s="28">
        <f t="shared" si="1"/>
        <v>10404.16667</v>
      </c>
      <c r="K27" s="28">
        <f t="shared" si="2"/>
        <v>249700</v>
      </c>
      <c r="L27" s="29">
        <f t="shared" si="3"/>
        <v>45005</v>
      </c>
      <c r="M27" s="30">
        <f t="shared" si="4"/>
        <v>38</v>
      </c>
      <c r="N27" s="28">
        <f t="shared" si="5"/>
        <v>395358.3333</v>
      </c>
      <c r="O27" s="28">
        <f t="shared" si="6"/>
        <v>-145658.3333</v>
      </c>
      <c r="P27" s="31" t="str">
        <f t="shared" si="7"/>
        <v>Loan Paid</v>
      </c>
    </row>
    <row r="28" ht="22.5" customHeight="1">
      <c r="A28" s="2" t="s">
        <v>622</v>
      </c>
      <c r="B28" s="2" t="s">
        <v>528</v>
      </c>
      <c r="C28" s="3" t="s">
        <v>591</v>
      </c>
      <c r="D28" s="3" t="s">
        <v>595</v>
      </c>
      <c r="E28" s="27">
        <v>44849.0</v>
      </c>
      <c r="F28" s="4">
        <v>1300000.0</v>
      </c>
      <c r="G28" s="27">
        <v>44866.0</v>
      </c>
      <c r="H28" s="4">
        <v>8.3</v>
      </c>
      <c r="I28" s="4">
        <v>54.0</v>
      </c>
      <c r="J28" s="28">
        <f t="shared" si="1"/>
        <v>26072.22222</v>
      </c>
      <c r="K28" s="28">
        <f t="shared" si="2"/>
        <v>1407900</v>
      </c>
      <c r="L28" s="29">
        <f t="shared" si="3"/>
        <v>44896</v>
      </c>
      <c r="M28" s="30">
        <f t="shared" si="4"/>
        <v>42</v>
      </c>
      <c r="N28" s="28">
        <f t="shared" si="5"/>
        <v>1095033.333</v>
      </c>
      <c r="O28" s="28">
        <f t="shared" si="6"/>
        <v>312866.6667</v>
      </c>
      <c r="P28" s="31" t="str">
        <f t="shared" si="7"/>
        <v>Not Paid Yet</v>
      </c>
    </row>
    <row r="29" ht="22.5" customHeight="1">
      <c r="A29" s="2" t="s">
        <v>623</v>
      </c>
      <c r="B29" s="2" t="s">
        <v>530</v>
      </c>
      <c r="C29" s="3" t="s">
        <v>594</v>
      </c>
      <c r="D29" s="3" t="s">
        <v>597</v>
      </c>
      <c r="E29" s="27">
        <v>44063.0</v>
      </c>
      <c r="F29" s="4">
        <v>4500000.0</v>
      </c>
      <c r="G29" s="27">
        <v>44084.0</v>
      </c>
      <c r="H29" s="4">
        <v>7.2</v>
      </c>
      <c r="I29" s="4">
        <v>120.0</v>
      </c>
      <c r="J29" s="28">
        <f t="shared" si="1"/>
        <v>40200</v>
      </c>
      <c r="K29" s="28">
        <f t="shared" si="2"/>
        <v>4824000</v>
      </c>
      <c r="L29" s="29">
        <f t="shared" si="3"/>
        <v>44114</v>
      </c>
      <c r="M29" s="30">
        <f t="shared" si="4"/>
        <v>68</v>
      </c>
      <c r="N29" s="28">
        <f t="shared" si="5"/>
        <v>2733600</v>
      </c>
      <c r="O29" s="28">
        <f t="shared" si="6"/>
        <v>2090400</v>
      </c>
      <c r="P29" s="31" t="str">
        <f t="shared" si="7"/>
        <v>Not Paid Yet</v>
      </c>
    </row>
    <row r="30" ht="22.5" customHeight="1">
      <c r="A30" s="2" t="s">
        <v>624</v>
      </c>
      <c r="B30" s="2" t="s">
        <v>532</v>
      </c>
      <c r="C30" s="3" t="s">
        <v>599</v>
      </c>
      <c r="D30" s="3" t="s">
        <v>592</v>
      </c>
      <c r="E30" s="27">
        <v>45174.0</v>
      </c>
      <c r="F30" s="4">
        <v>320000.0</v>
      </c>
      <c r="G30" s="27">
        <v>45184.0</v>
      </c>
      <c r="H30" s="4">
        <v>12.0</v>
      </c>
      <c r="I30" s="4">
        <v>18.0</v>
      </c>
      <c r="J30" s="28">
        <f t="shared" si="1"/>
        <v>19911.11111</v>
      </c>
      <c r="K30" s="28">
        <f t="shared" si="2"/>
        <v>358400</v>
      </c>
      <c r="L30" s="29">
        <f t="shared" si="3"/>
        <v>45214</v>
      </c>
      <c r="M30" s="30">
        <f t="shared" si="4"/>
        <v>31</v>
      </c>
      <c r="N30" s="28">
        <f t="shared" si="5"/>
        <v>617244.4444</v>
      </c>
      <c r="O30" s="28">
        <f t="shared" si="6"/>
        <v>-258844.4444</v>
      </c>
      <c r="P30" s="31" t="str">
        <f t="shared" si="7"/>
        <v>Loan Paid</v>
      </c>
    </row>
    <row r="31" ht="22.5" customHeight="1">
      <c r="A31" s="2" t="s">
        <v>625</v>
      </c>
      <c r="B31" s="2" t="s">
        <v>534</v>
      </c>
      <c r="C31" s="3" t="s">
        <v>601</v>
      </c>
      <c r="D31" s="3" t="s">
        <v>595</v>
      </c>
      <c r="E31" s="27">
        <v>44510.0</v>
      </c>
      <c r="F31" s="4">
        <v>750000.0</v>
      </c>
      <c r="G31" s="27">
        <v>44525.0</v>
      </c>
      <c r="H31" s="4">
        <v>9.8</v>
      </c>
      <c r="I31" s="4">
        <v>30.0</v>
      </c>
      <c r="J31" s="28">
        <f t="shared" si="1"/>
        <v>27450</v>
      </c>
      <c r="K31" s="28">
        <f t="shared" si="2"/>
        <v>823500</v>
      </c>
      <c r="L31" s="29">
        <f t="shared" si="3"/>
        <v>44555</v>
      </c>
      <c r="M31" s="30">
        <f t="shared" si="4"/>
        <v>53</v>
      </c>
      <c r="N31" s="28">
        <f t="shared" si="5"/>
        <v>1454850</v>
      </c>
      <c r="O31" s="28">
        <f t="shared" si="6"/>
        <v>-631350</v>
      </c>
      <c r="P31" s="31" t="str">
        <f t="shared" si="7"/>
        <v>Loan Paid</v>
      </c>
    </row>
    <row r="32" ht="22.5" customHeight="1">
      <c r="A32" s="2" t="s">
        <v>626</v>
      </c>
      <c r="B32" s="2" t="s">
        <v>536</v>
      </c>
      <c r="C32" s="3" t="s">
        <v>591</v>
      </c>
      <c r="D32" s="3" t="s">
        <v>597</v>
      </c>
      <c r="E32" s="27">
        <v>44713.0</v>
      </c>
      <c r="F32" s="4">
        <v>2800000.0</v>
      </c>
      <c r="G32" s="27">
        <v>44732.0</v>
      </c>
      <c r="H32" s="4">
        <v>8.4</v>
      </c>
      <c r="I32" s="4">
        <v>84.0</v>
      </c>
      <c r="J32" s="28">
        <f t="shared" si="1"/>
        <v>36133.33333</v>
      </c>
      <c r="K32" s="28">
        <f t="shared" si="2"/>
        <v>3035200</v>
      </c>
      <c r="L32" s="29">
        <f t="shared" si="3"/>
        <v>44762</v>
      </c>
      <c r="M32" s="30">
        <f t="shared" si="4"/>
        <v>46</v>
      </c>
      <c r="N32" s="28">
        <f t="shared" si="5"/>
        <v>1662133.333</v>
      </c>
      <c r="O32" s="28">
        <f t="shared" si="6"/>
        <v>1373066.667</v>
      </c>
      <c r="P32" s="31" t="str">
        <f t="shared" si="7"/>
        <v>Not Paid Yet</v>
      </c>
    </row>
    <row r="33" ht="22.5" customHeight="1">
      <c r="A33" s="2" t="s">
        <v>627</v>
      </c>
      <c r="B33" s="2" t="s">
        <v>538</v>
      </c>
      <c r="C33" s="3" t="s">
        <v>594</v>
      </c>
      <c r="D33" s="3" t="s">
        <v>592</v>
      </c>
      <c r="E33" s="27">
        <v>45261.0</v>
      </c>
      <c r="F33" s="4">
        <v>120000.0</v>
      </c>
      <c r="G33" s="27">
        <v>45270.0</v>
      </c>
      <c r="H33" s="4">
        <v>10.0</v>
      </c>
      <c r="I33" s="4">
        <v>12.0</v>
      </c>
      <c r="J33" s="28">
        <f t="shared" si="1"/>
        <v>11000</v>
      </c>
      <c r="K33" s="28">
        <f t="shared" si="2"/>
        <v>132000</v>
      </c>
      <c r="L33" s="29">
        <f t="shared" si="3"/>
        <v>45301</v>
      </c>
      <c r="M33" s="30">
        <f t="shared" si="4"/>
        <v>29</v>
      </c>
      <c r="N33" s="28">
        <f t="shared" si="5"/>
        <v>319000</v>
      </c>
      <c r="O33" s="28">
        <f t="shared" si="6"/>
        <v>-187000</v>
      </c>
      <c r="P33" s="31" t="str">
        <f t="shared" si="7"/>
        <v>Loan Paid</v>
      </c>
    </row>
    <row r="34" ht="22.5" customHeight="1">
      <c r="A34" s="2" t="s">
        <v>628</v>
      </c>
      <c r="B34" s="2" t="s">
        <v>540</v>
      </c>
      <c r="C34" s="3" t="s">
        <v>599</v>
      </c>
      <c r="D34" s="3" t="s">
        <v>595</v>
      </c>
      <c r="E34" s="27">
        <v>44656.0</v>
      </c>
      <c r="F34" s="4">
        <v>850000.0</v>
      </c>
      <c r="G34" s="27">
        <v>44671.0</v>
      </c>
      <c r="H34" s="4">
        <v>9.0</v>
      </c>
      <c r="I34" s="4">
        <v>36.0</v>
      </c>
      <c r="J34" s="28">
        <f t="shared" si="1"/>
        <v>25736.11111</v>
      </c>
      <c r="K34" s="28">
        <f t="shared" si="2"/>
        <v>926500</v>
      </c>
      <c r="L34" s="29">
        <f t="shared" si="3"/>
        <v>44701</v>
      </c>
      <c r="M34" s="30">
        <f t="shared" si="4"/>
        <v>48</v>
      </c>
      <c r="N34" s="28">
        <f t="shared" si="5"/>
        <v>1235333.333</v>
      </c>
      <c r="O34" s="28">
        <f t="shared" si="6"/>
        <v>-308833.3333</v>
      </c>
      <c r="P34" s="31" t="str">
        <f t="shared" si="7"/>
        <v>Loan Paid</v>
      </c>
    </row>
    <row r="35" ht="22.5" customHeight="1">
      <c r="A35" s="2" t="s">
        <v>629</v>
      </c>
      <c r="B35" s="2" t="s">
        <v>542</v>
      </c>
      <c r="C35" s="3" t="s">
        <v>601</v>
      </c>
      <c r="D35" s="3" t="s">
        <v>597</v>
      </c>
      <c r="E35" s="27">
        <v>44211.0</v>
      </c>
      <c r="F35" s="4">
        <v>5500000.0</v>
      </c>
      <c r="G35" s="27">
        <v>44228.0</v>
      </c>
      <c r="H35" s="4">
        <v>7.5</v>
      </c>
      <c r="I35" s="4">
        <v>144.0</v>
      </c>
      <c r="J35" s="28">
        <f t="shared" si="1"/>
        <v>41059.02778</v>
      </c>
      <c r="K35" s="28">
        <f t="shared" si="2"/>
        <v>5912500</v>
      </c>
      <c r="L35" s="29">
        <f t="shared" si="3"/>
        <v>44256</v>
      </c>
      <c r="M35" s="30">
        <f t="shared" si="4"/>
        <v>63</v>
      </c>
      <c r="N35" s="28">
        <f t="shared" si="5"/>
        <v>2586718.75</v>
      </c>
      <c r="O35" s="28">
        <f t="shared" si="6"/>
        <v>3325781.25</v>
      </c>
      <c r="P35" s="31" t="str">
        <f t="shared" si="7"/>
        <v>Not Paid Yet</v>
      </c>
    </row>
    <row r="36" ht="22.5" customHeight="1">
      <c r="A36" s="2" t="s">
        <v>630</v>
      </c>
      <c r="B36" s="2" t="s">
        <v>544</v>
      </c>
      <c r="C36" s="3" t="s">
        <v>591</v>
      </c>
      <c r="D36" s="3" t="s">
        <v>592</v>
      </c>
      <c r="E36" s="27">
        <v>45036.0</v>
      </c>
      <c r="F36" s="4">
        <v>280000.0</v>
      </c>
      <c r="G36" s="27">
        <v>45047.0</v>
      </c>
      <c r="H36" s="4">
        <v>11.2</v>
      </c>
      <c r="I36" s="4">
        <v>24.0</v>
      </c>
      <c r="J36" s="28">
        <f t="shared" si="1"/>
        <v>12973.33333</v>
      </c>
      <c r="K36" s="28">
        <f t="shared" si="2"/>
        <v>311360</v>
      </c>
      <c r="L36" s="29">
        <f t="shared" si="3"/>
        <v>45078</v>
      </c>
      <c r="M36" s="30">
        <f t="shared" si="4"/>
        <v>36</v>
      </c>
      <c r="N36" s="28">
        <f t="shared" si="5"/>
        <v>467040</v>
      </c>
      <c r="O36" s="28">
        <f t="shared" si="6"/>
        <v>-155680</v>
      </c>
      <c r="P36" s="31" t="str">
        <f t="shared" si="7"/>
        <v>Loan Paid</v>
      </c>
    </row>
    <row r="37" ht="22.5" customHeight="1">
      <c r="A37" s="2" t="s">
        <v>631</v>
      </c>
      <c r="B37" s="2" t="s">
        <v>546</v>
      </c>
      <c r="C37" s="3" t="s">
        <v>594</v>
      </c>
      <c r="D37" s="3" t="s">
        <v>595</v>
      </c>
      <c r="E37" s="27">
        <v>44915.0</v>
      </c>
      <c r="F37" s="4">
        <v>1050000.0</v>
      </c>
      <c r="G37" s="27">
        <v>44931.0</v>
      </c>
      <c r="H37" s="4">
        <v>8.6</v>
      </c>
      <c r="I37" s="4">
        <v>48.0</v>
      </c>
      <c r="J37" s="28">
        <f t="shared" si="1"/>
        <v>23756.25</v>
      </c>
      <c r="K37" s="28">
        <f t="shared" si="2"/>
        <v>1140300</v>
      </c>
      <c r="L37" s="29">
        <f t="shared" si="3"/>
        <v>44962</v>
      </c>
      <c r="M37" s="30">
        <f t="shared" si="4"/>
        <v>40</v>
      </c>
      <c r="N37" s="28">
        <f t="shared" si="5"/>
        <v>950250</v>
      </c>
      <c r="O37" s="28">
        <f t="shared" si="6"/>
        <v>190050</v>
      </c>
      <c r="P37" s="31" t="str">
        <f t="shared" si="7"/>
        <v>Not Paid Yet</v>
      </c>
    </row>
    <row r="38" ht="22.5" customHeight="1">
      <c r="A38" s="2" t="s">
        <v>632</v>
      </c>
      <c r="B38" s="2" t="s">
        <v>548</v>
      </c>
      <c r="C38" s="3" t="s">
        <v>599</v>
      </c>
      <c r="D38" s="3" t="s">
        <v>597</v>
      </c>
      <c r="E38" s="27">
        <v>44109.0</v>
      </c>
      <c r="F38" s="4">
        <v>3200000.0</v>
      </c>
      <c r="G38" s="27">
        <v>44129.0</v>
      </c>
      <c r="H38" s="4">
        <v>8.1</v>
      </c>
      <c r="I38" s="4">
        <v>72.0</v>
      </c>
      <c r="J38" s="28">
        <f t="shared" si="1"/>
        <v>48044.44444</v>
      </c>
      <c r="K38" s="28">
        <f t="shared" si="2"/>
        <v>3459200</v>
      </c>
      <c r="L38" s="29">
        <f t="shared" si="3"/>
        <v>44160</v>
      </c>
      <c r="M38" s="30">
        <f t="shared" si="4"/>
        <v>66</v>
      </c>
      <c r="N38" s="28">
        <f t="shared" si="5"/>
        <v>3170933.333</v>
      </c>
      <c r="O38" s="28">
        <f t="shared" si="6"/>
        <v>288266.6667</v>
      </c>
      <c r="P38" s="31" t="str">
        <f t="shared" si="7"/>
        <v>Not Paid Yet</v>
      </c>
    </row>
    <row r="39" ht="22.5" customHeight="1">
      <c r="A39" s="2" t="s">
        <v>633</v>
      </c>
      <c r="B39" s="2" t="s">
        <v>550</v>
      </c>
      <c r="C39" s="3" t="s">
        <v>601</v>
      </c>
      <c r="D39" s="3" t="s">
        <v>592</v>
      </c>
      <c r="E39" s="27">
        <v>45117.0</v>
      </c>
      <c r="F39" s="4">
        <v>350000.0</v>
      </c>
      <c r="G39" s="27">
        <v>45132.0</v>
      </c>
      <c r="H39" s="4">
        <v>12.8</v>
      </c>
      <c r="I39" s="4">
        <v>30.0</v>
      </c>
      <c r="J39" s="28">
        <f t="shared" si="1"/>
        <v>13160</v>
      </c>
      <c r="K39" s="28">
        <f t="shared" si="2"/>
        <v>394800</v>
      </c>
      <c r="L39" s="29">
        <f t="shared" si="3"/>
        <v>45163</v>
      </c>
      <c r="M39" s="30">
        <f t="shared" si="4"/>
        <v>33</v>
      </c>
      <c r="N39" s="28">
        <f t="shared" si="5"/>
        <v>434280</v>
      </c>
      <c r="O39" s="28">
        <f t="shared" si="6"/>
        <v>-39480</v>
      </c>
      <c r="P39" s="31" t="str">
        <f t="shared" si="7"/>
        <v>Loan Paid</v>
      </c>
    </row>
    <row r="40" ht="22.5" customHeight="1">
      <c r="A40" s="2" t="s">
        <v>634</v>
      </c>
      <c r="B40" s="2" t="s">
        <v>552</v>
      </c>
      <c r="C40" s="3" t="s">
        <v>591</v>
      </c>
      <c r="D40" s="3" t="s">
        <v>595</v>
      </c>
      <c r="E40" s="27">
        <v>44464.0</v>
      </c>
      <c r="F40" s="4">
        <v>650000.0</v>
      </c>
      <c r="G40" s="27">
        <v>44479.0</v>
      </c>
      <c r="H40" s="4">
        <v>9.5</v>
      </c>
      <c r="I40" s="4">
        <v>24.0</v>
      </c>
      <c r="J40" s="28">
        <f t="shared" si="1"/>
        <v>29656.25</v>
      </c>
      <c r="K40" s="28">
        <f t="shared" si="2"/>
        <v>711750</v>
      </c>
      <c r="L40" s="29">
        <f t="shared" si="3"/>
        <v>44510</v>
      </c>
      <c r="M40" s="30">
        <f t="shared" si="4"/>
        <v>55</v>
      </c>
      <c r="N40" s="28">
        <f t="shared" si="5"/>
        <v>1631093.75</v>
      </c>
      <c r="O40" s="28">
        <f t="shared" si="6"/>
        <v>-919343.75</v>
      </c>
      <c r="P40" s="31" t="str">
        <f t="shared" si="7"/>
        <v>Loan Paid</v>
      </c>
    </row>
    <row r="41" ht="22.5" customHeight="1">
      <c r="A41" s="2" t="s">
        <v>635</v>
      </c>
      <c r="B41" s="2" t="s">
        <v>554</v>
      </c>
      <c r="C41" s="3" t="s">
        <v>594</v>
      </c>
      <c r="D41" s="3" t="s">
        <v>597</v>
      </c>
      <c r="E41" s="27">
        <v>44620.0</v>
      </c>
      <c r="F41" s="4">
        <v>1800000.0</v>
      </c>
      <c r="G41" s="27">
        <v>44635.0</v>
      </c>
      <c r="H41" s="4">
        <v>7.9</v>
      </c>
      <c r="I41" s="4">
        <v>96.0</v>
      </c>
      <c r="J41" s="28">
        <f t="shared" si="1"/>
        <v>20231.25</v>
      </c>
      <c r="K41" s="28">
        <f t="shared" si="2"/>
        <v>1942200</v>
      </c>
      <c r="L41" s="29">
        <f t="shared" si="3"/>
        <v>44666</v>
      </c>
      <c r="M41" s="30">
        <f t="shared" si="4"/>
        <v>49</v>
      </c>
      <c r="N41" s="28">
        <f t="shared" si="5"/>
        <v>991331.25</v>
      </c>
      <c r="O41" s="28">
        <f t="shared" si="6"/>
        <v>950868.75</v>
      </c>
      <c r="P41" s="31" t="str">
        <f t="shared" si="7"/>
        <v>Not Paid Yet</v>
      </c>
    </row>
    <row r="42" ht="22.5" customHeight="1">
      <c r="A42" s="2" t="s">
        <v>636</v>
      </c>
      <c r="B42" s="2" t="s">
        <v>556</v>
      </c>
      <c r="C42" s="3" t="s">
        <v>599</v>
      </c>
      <c r="D42" s="3" t="s">
        <v>592</v>
      </c>
      <c r="E42" s="27">
        <v>45076.0</v>
      </c>
      <c r="F42" s="4">
        <v>450000.0</v>
      </c>
      <c r="G42" s="27">
        <v>45092.0</v>
      </c>
      <c r="H42" s="4">
        <v>13.0</v>
      </c>
      <c r="I42" s="4">
        <v>18.0</v>
      </c>
      <c r="J42" s="28">
        <f t="shared" si="1"/>
        <v>28250</v>
      </c>
      <c r="K42" s="28">
        <f t="shared" si="2"/>
        <v>508500</v>
      </c>
      <c r="L42" s="29">
        <f t="shared" si="3"/>
        <v>45122</v>
      </c>
      <c r="M42" s="30">
        <f t="shared" si="4"/>
        <v>34</v>
      </c>
      <c r="N42" s="28">
        <f t="shared" si="5"/>
        <v>960500</v>
      </c>
      <c r="O42" s="28">
        <f t="shared" si="6"/>
        <v>-452000</v>
      </c>
      <c r="P42" s="31" t="str">
        <f t="shared" si="7"/>
        <v>Loan Paid</v>
      </c>
    </row>
    <row r="43" ht="22.5" customHeight="1">
      <c r="A43" s="2" t="s">
        <v>637</v>
      </c>
      <c r="B43" s="2" t="s">
        <v>558</v>
      </c>
      <c r="C43" s="3" t="s">
        <v>601</v>
      </c>
      <c r="D43" s="3" t="s">
        <v>595</v>
      </c>
      <c r="E43" s="27">
        <v>44783.0</v>
      </c>
      <c r="F43" s="4">
        <v>1150000.0</v>
      </c>
      <c r="G43" s="27">
        <v>44798.0</v>
      </c>
      <c r="H43" s="4">
        <v>8.7</v>
      </c>
      <c r="I43" s="4">
        <v>42.0</v>
      </c>
      <c r="J43" s="28">
        <f t="shared" si="1"/>
        <v>29763.09524</v>
      </c>
      <c r="K43" s="28">
        <f t="shared" si="2"/>
        <v>1250050</v>
      </c>
      <c r="L43" s="29">
        <f t="shared" si="3"/>
        <v>44829</v>
      </c>
      <c r="M43" s="30">
        <f t="shared" si="4"/>
        <v>44</v>
      </c>
      <c r="N43" s="28">
        <f t="shared" si="5"/>
        <v>1309576.19</v>
      </c>
      <c r="O43" s="28">
        <f t="shared" si="6"/>
        <v>-59526.19048</v>
      </c>
      <c r="P43" s="31" t="str">
        <f t="shared" si="7"/>
        <v>Loan Paid</v>
      </c>
    </row>
    <row r="44" ht="22.5" customHeight="1">
      <c r="A44" s="2" t="s">
        <v>638</v>
      </c>
      <c r="B44" s="2" t="s">
        <v>560</v>
      </c>
      <c r="C44" s="3" t="s">
        <v>591</v>
      </c>
      <c r="D44" s="3" t="s">
        <v>597</v>
      </c>
      <c r="E44" s="27">
        <v>44275.0</v>
      </c>
      <c r="F44" s="4">
        <v>4200000.0</v>
      </c>
      <c r="G44" s="27">
        <v>44296.0</v>
      </c>
      <c r="H44" s="4">
        <v>7.3</v>
      </c>
      <c r="I44" s="4">
        <v>108.0</v>
      </c>
      <c r="J44" s="28">
        <f t="shared" si="1"/>
        <v>41727.77778</v>
      </c>
      <c r="K44" s="28">
        <f t="shared" si="2"/>
        <v>4506600</v>
      </c>
      <c r="L44" s="29">
        <f t="shared" si="3"/>
        <v>44326</v>
      </c>
      <c r="M44" s="30">
        <f t="shared" si="4"/>
        <v>61</v>
      </c>
      <c r="N44" s="28">
        <f t="shared" si="5"/>
        <v>2545394.444</v>
      </c>
      <c r="O44" s="28">
        <f t="shared" si="6"/>
        <v>1961205.556</v>
      </c>
      <c r="P44" s="31" t="str">
        <f t="shared" si="7"/>
        <v>Not Paid Yet</v>
      </c>
    </row>
    <row r="45" ht="22.5" customHeight="1">
      <c r="A45" s="2" t="s">
        <v>639</v>
      </c>
      <c r="B45" s="2" t="s">
        <v>562</v>
      </c>
      <c r="C45" s="3" t="s">
        <v>594</v>
      </c>
      <c r="D45" s="3" t="s">
        <v>592</v>
      </c>
      <c r="E45" s="27">
        <v>45219.0</v>
      </c>
      <c r="F45" s="4">
        <v>160000.0</v>
      </c>
      <c r="G45" s="27">
        <v>45231.0</v>
      </c>
      <c r="H45" s="4">
        <v>11.5</v>
      </c>
      <c r="I45" s="4">
        <v>12.0</v>
      </c>
      <c r="J45" s="28">
        <f t="shared" si="1"/>
        <v>14866.66667</v>
      </c>
      <c r="K45" s="28">
        <f t="shared" si="2"/>
        <v>178400</v>
      </c>
      <c r="L45" s="29">
        <f t="shared" si="3"/>
        <v>45261</v>
      </c>
      <c r="M45" s="30">
        <f t="shared" si="4"/>
        <v>30</v>
      </c>
      <c r="N45" s="28">
        <f t="shared" si="5"/>
        <v>446000</v>
      </c>
      <c r="O45" s="28">
        <f t="shared" si="6"/>
        <v>-267600</v>
      </c>
      <c r="P45" s="31" t="str">
        <f t="shared" si="7"/>
        <v>Loan Paid</v>
      </c>
    </row>
    <row r="46" ht="22.5" customHeight="1">
      <c r="A46" s="2" t="s">
        <v>640</v>
      </c>
      <c r="B46" s="2" t="s">
        <v>564</v>
      </c>
      <c r="C46" s="3" t="s">
        <v>599</v>
      </c>
      <c r="D46" s="3" t="s">
        <v>595</v>
      </c>
      <c r="E46" s="27">
        <v>44727.0</v>
      </c>
      <c r="F46" s="4">
        <v>780000.0</v>
      </c>
      <c r="G46" s="27">
        <v>44743.0</v>
      </c>
      <c r="H46" s="4">
        <v>9.3</v>
      </c>
      <c r="I46" s="4">
        <v>36.0</v>
      </c>
      <c r="J46" s="28">
        <f t="shared" si="1"/>
        <v>23681.66667</v>
      </c>
      <c r="K46" s="28">
        <f t="shared" si="2"/>
        <v>852540</v>
      </c>
      <c r="L46" s="29">
        <f t="shared" si="3"/>
        <v>44774</v>
      </c>
      <c r="M46" s="30">
        <f t="shared" si="4"/>
        <v>46</v>
      </c>
      <c r="N46" s="28">
        <f t="shared" si="5"/>
        <v>1089356.667</v>
      </c>
      <c r="O46" s="28">
        <f t="shared" si="6"/>
        <v>-236816.6667</v>
      </c>
      <c r="P46" s="31" t="str">
        <f t="shared" si="7"/>
        <v>Loan Paid</v>
      </c>
    </row>
    <row r="47" ht="22.5" customHeight="1">
      <c r="A47" s="2" t="s">
        <v>641</v>
      </c>
      <c r="B47" s="2" t="s">
        <v>566</v>
      </c>
      <c r="C47" s="3" t="s">
        <v>601</v>
      </c>
      <c r="D47" s="3" t="s">
        <v>597</v>
      </c>
      <c r="E47" s="27">
        <v>44177.0</v>
      </c>
      <c r="F47" s="4">
        <v>2200000.0</v>
      </c>
      <c r="G47" s="27">
        <v>44197.0</v>
      </c>
      <c r="H47" s="4">
        <v>8.2</v>
      </c>
      <c r="I47" s="4">
        <v>60.0</v>
      </c>
      <c r="J47" s="28">
        <f t="shared" si="1"/>
        <v>39673.33333</v>
      </c>
      <c r="K47" s="28">
        <f t="shared" si="2"/>
        <v>2380400</v>
      </c>
      <c r="L47" s="29">
        <f t="shared" si="3"/>
        <v>44228</v>
      </c>
      <c r="M47" s="30">
        <f t="shared" si="4"/>
        <v>64</v>
      </c>
      <c r="N47" s="28">
        <f t="shared" si="5"/>
        <v>2539093.333</v>
      </c>
      <c r="O47" s="28">
        <f t="shared" si="6"/>
        <v>-158693.3333</v>
      </c>
      <c r="P47" s="31" t="str">
        <f t="shared" si="7"/>
        <v>Loan Paid</v>
      </c>
    </row>
    <row r="48" ht="22.5" customHeight="1">
      <c r="A48" s="2" t="s">
        <v>642</v>
      </c>
      <c r="B48" s="2" t="s">
        <v>568</v>
      </c>
      <c r="C48" s="3" t="s">
        <v>591</v>
      </c>
      <c r="D48" s="3" t="s">
        <v>592</v>
      </c>
      <c r="E48" s="27">
        <v>44995.0</v>
      </c>
      <c r="F48" s="4">
        <v>290000.0</v>
      </c>
      <c r="G48" s="27">
        <v>45010.0</v>
      </c>
      <c r="H48" s="4">
        <v>12.2</v>
      </c>
      <c r="I48" s="4">
        <v>24.0</v>
      </c>
      <c r="J48" s="28">
        <f t="shared" si="1"/>
        <v>13557.5</v>
      </c>
      <c r="K48" s="28">
        <f t="shared" si="2"/>
        <v>325380</v>
      </c>
      <c r="L48" s="29">
        <f t="shared" si="3"/>
        <v>45041</v>
      </c>
      <c r="M48" s="30">
        <f t="shared" si="4"/>
        <v>37</v>
      </c>
      <c r="N48" s="28">
        <f t="shared" si="5"/>
        <v>501627.5</v>
      </c>
      <c r="O48" s="28">
        <f t="shared" si="6"/>
        <v>-176247.5</v>
      </c>
      <c r="P48" s="31" t="str">
        <f t="shared" si="7"/>
        <v>Loan Paid</v>
      </c>
    </row>
    <row r="49" ht="22.5" customHeight="1">
      <c r="A49" s="2" t="s">
        <v>643</v>
      </c>
      <c r="B49" s="2" t="s">
        <v>570</v>
      </c>
      <c r="C49" s="3" t="s">
        <v>594</v>
      </c>
      <c r="D49" s="3" t="s">
        <v>595</v>
      </c>
      <c r="E49" s="27">
        <v>44870.0</v>
      </c>
      <c r="F49" s="4">
        <v>980000.0</v>
      </c>
      <c r="G49" s="27">
        <v>44885.0</v>
      </c>
      <c r="H49" s="4">
        <v>8.9</v>
      </c>
      <c r="I49" s="4">
        <v>48.0</v>
      </c>
      <c r="J49" s="28">
        <f t="shared" si="1"/>
        <v>22233.75</v>
      </c>
      <c r="K49" s="28">
        <f t="shared" si="2"/>
        <v>1067220</v>
      </c>
      <c r="L49" s="29">
        <f t="shared" si="3"/>
        <v>44915</v>
      </c>
      <c r="M49" s="30">
        <f t="shared" si="4"/>
        <v>41</v>
      </c>
      <c r="N49" s="28">
        <f t="shared" si="5"/>
        <v>911583.75</v>
      </c>
      <c r="O49" s="28">
        <f t="shared" si="6"/>
        <v>155636.25</v>
      </c>
      <c r="P49" s="31" t="str">
        <f t="shared" si="7"/>
        <v>Not Paid Yet</v>
      </c>
    </row>
    <row r="50" ht="22.5" customHeight="1">
      <c r="A50" s="2" t="s">
        <v>644</v>
      </c>
      <c r="B50" s="2" t="s">
        <v>572</v>
      </c>
      <c r="C50" s="3" t="s">
        <v>599</v>
      </c>
      <c r="D50" s="3" t="s">
        <v>597</v>
      </c>
      <c r="E50" s="27">
        <v>44423.0</v>
      </c>
      <c r="F50" s="4">
        <v>4800000.0</v>
      </c>
      <c r="G50" s="27">
        <v>44440.0</v>
      </c>
      <c r="H50" s="4">
        <v>7.6</v>
      </c>
      <c r="I50" s="4">
        <v>120.0</v>
      </c>
      <c r="J50" s="28">
        <f t="shared" si="1"/>
        <v>43040</v>
      </c>
      <c r="K50" s="28">
        <f t="shared" si="2"/>
        <v>5164800</v>
      </c>
      <c r="L50" s="29">
        <f t="shared" si="3"/>
        <v>44470</v>
      </c>
      <c r="M50" s="30">
        <f t="shared" si="4"/>
        <v>56</v>
      </c>
      <c r="N50" s="28">
        <f t="shared" si="5"/>
        <v>2410240</v>
      </c>
      <c r="O50" s="28">
        <f t="shared" si="6"/>
        <v>2754560</v>
      </c>
      <c r="P50" s="31" t="str">
        <f t="shared" si="7"/>
        <v>Not Paid Yet</v>
      </c>
    </row>
    <row r="51" ht="22.5" customHeight="1">
      <c r="A51" s="2" t="s">
        <v>645</v>
      </c>
      <c r="B51" s="2" t="s">
        <v>574</v>
      </c>
      <c r="C51" s="3" t="s">
        <v>601</v>
      </c>
      <c r="D51" s="3" t="s">
        <v>592</v>
      </c>
      <c r="E51" s="27">
        <v>45163.0</v>
      </c>
      <c r="F51" s="4">
        <v>380000.0</v>
      </c>
      <c r="G51" s="27">
        <v>45179.0</v>
      </c>
      <c r="H51" s="4">
        <v>12.5</v>
      </c>
      <c r="I51" s="4">
        <v>30.0</v>
      </c>
      <c r="J51" s="28">
        <f t="shared" si="1"/>
        <v>14250</v>
      </c>
      <c r="K51" s="28">
        <f t="shared" si="2"/>
        <v>427500</v>
      </c>
      <c r="L51" s="29">
        <f t="shared" si="3"/>
        <v>45209</v>
      </c>
      <c r="M51" s="30">
        <f t="shared" si="4"/>
        <v>32</v>
      </c>
      <c r="N51" s="28">
        <f t="shared" si="5"/>
        <v>456000</v>
      </c>
      <c r="O51" s="28">
        <f t="shared" si="6"/>
        <v>-28500</v>
      </c>
      <c r="P51" s="31" t="str">
        <f t="shared" si="7"/>
        <v>Loan Paid</v>
      </c>
    </row>
    <row r="52" ht="22.5" customHeight="1">
      <c r="A52" s="2" t="s">
        <v>646</v>
      </c>
      <c r="B52" s="2" t="s">
        <v>576</v>
      </c>
      <c r="C52" s="3" t="s">
        <v>591</v>
      </c>
      <c r="D52" s="3" t="s">
        <v>595</v>
      </c>
      <c r="E52" s="27">
        <v>44650.0</v>
      </c>
      <c r="F52" s="4">
        <v>880000.0</v>
      </c>
      <c r="G52" s="27">
        <v>44666.0</v>
      </c>
      <c r="H52" s="4">
        <v>9.6</v>
      </c>
      <c r="I52" s="4">
        <v>30.0</v>
      </c>
      <c r="J52" s="28">
        <f t="shared" si="1"/>
        <v>32149.33333</v>
      </c>
      <c r="K52" s="28">
        <f t="shared" si="2"/>
        <v>964480</v>
      </c>
      <c r="L52" s="29">
        <f t="shared" si="3"/>
        <v>44696</v>
      </c>
      <c r="M52" s="30">
        <f t="shared" si="4"/>
        <v>48</v>
      </c>
      <c r="N52" s="28">
        <f t="shared" si="5"/>
        <v>1543168</v>
      </c>
      <c r="O52" s="28">
        <f t="shared" si="6"/>
        <v>-578688</v>
      </c>
      <c r="P52" s="31" t="str">
        <f t="shared" si="7"/>
        <v>Loan Paid</v>
      </c>
    </row>
  </sheetData>
  <dataValidations>
    <dataValidation type="list" allowBlank="1" showDropDown="1" showErrorMessage="1" sqref="D3:D52">
      <formula1>"Personal Loan,Car Loan,Home Loan"</formula1>
    </dataValidation>
    <dataValidation type="custom" allowBlank="1" showDropDown="1" sqref="E3:E52 G3:G52 L3:L52">
      <formula1>OR(NOT(ISERROR(DATEVALUE(E3))), AND(ISNUMBER(E3), LEFT(CELL("format", E3))="D"))</formula1>
    </dataValidation>
    <dataValidation type="list" allowBlank="1" showDropDown="1" showErrorMessage="1" sqref="C3:C52">
      <formula1>"B-101,B-102,B-103,B-104"</formula1>
    </dataValidation>
    <dataValidation type="custom" allowBlank="1" showDropDown="1" sqref="F3:F52 H3:K52 M3:O52">
      <formula1>AND(ISNUMBER(F3),(NOT(OR(NOT(ISERROR(DATEVALUE(F3))), AND(ISNUMBER(F3), LEFT(CELL("format", F3))="D")))))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63"/>
    <col customWidth="1" min="3" max="3" width="15.75"/>
    <col customWidth="1" min="4" max="4" width="16.75"/>
    <col customWidth="1" min="5" max="5" width="17.13"/>
    <col customWidth="1" min="6" max="6" width="13.0"/>
    <col customWidth="1" min="7" max="7" width="15.75"/>
    <col customWidth="1" min="8" max="8" width="15.88"/>
  </cols>
  <sheetData>
    <row r="2" ht="22.5" customHeight="1">
      <c r="A2" s="2" t="s">
        <v>647</v>
      </c>
      <c r="B2" s="2" t="s">
        <v>648</v>
      </c>
      <c r="C2" s="2" t="s">
        <v>0</v>
      </c>
      <c r="D2" s="2" t="s">
        <v>649</v>
      </c>
      <c r="E2" s="2" t="s">
        <v>650</v>
      </c>
      <c r="F2" s="2" t="s">
        <v>651</v>
      </c>
      <c r="G2" s="2" t="s">
        <v>652</v>
      </c>
      <c r="H2" s="26" t="s">
        <v>653</v>
      </c>
    </row>
    <row r="3" ht="22.5" customHeight="1">
      <c r="A3" s="2" t="s">
        <v>654</v>
      </c>
      <c r="B3" s="2" t="s">
        <v>655</v>
      </c>
      <c r="C3" s="3" t="s">
        <v>591</v>
      </c>
      <c r="D3" s="2" t="s">
        <v>656</v>
      </c>
      <c r="E3" s="32">
        <v>120000.0</v>
      </c>
      <c r="F3" s="32">
        <v>15000.0</v>
      </c>
      <c r="G3" s="32">
        <v>8000.0</v>
      </c>
      <c r="H3" s="33">
        <f t="shared" ref="H3:H52" si="1">E3+F3-G3</f>
        <v>127000</v>
      </c>
    </row>
    <row r="4" ht="22.5" customHeight="1">
      <c r="A4" s="2" t="s">
        <v>657</v>
      </c>
      <c r="B4" s="2" t="s">
        <v>658</v>
      </c>
      <c r="C4" s="3" t="s">
        <v>594</v>
      </c>
      <c r="D4" s="2" t="s">
        <v>659</v>
      </c>
      <c r="E4" s="32">
        <v>85000.0</v>
      </c>
      <c r="F4" s="32">
        <v>10000.0</v>
      </c>
      <c r="G4" s="32">
        <v>5000.0</v>
      </c>
      <c r="H4" s="33">
        <f t="shared" si="1"/>
        <v>90000</v>
      </c>
    </row>
    <row r="5" ht="22.5" customHeight="1">
      <c r="A5" s="2" t="s">
        <v>660</v>
      </c>
      <c r="B5" s="2" t="s">
        <v>661</v>
      </c>
      <c r="C5" s="3" t="s">
        <v>599</v>
      </c>
      <c r="D5" s="2" t="s">
        <v>662</v>
      </c>
      <c r="E5" s="32">
        <v>55000.0</v>
      </c>
      <c r="F5" s="32">
        <v>5000.0</v>
      </c>
      <c r="G5" s="32">
        <v>3000.0</v>
      </c>
      <c r="H5" s="33">
        <f t="shared" si="1"/>
        <v>57000</v>
      </c>
    </row>
    <row r="6" ht="22.5" customHeight="1">
      <c r="A6" s="2" t="s">
        <v>663</v>
      </c>
      <c r="B6" s="2" t="s">
        <v>664</v>
      </c>
      <c r="C6" s="3" t="s">
        <v>591</v>
      </c>
      <c r="D6" s="2" t="s">
        <v>665</v>
      </c>
      <c r="E6" s="32">
        <v>95000.0</v>
      </c>
      <c r="F6" s="32">
        <v>12000.0</v>
      </c>
      <c r="G6" s="32">
        <v>6000.0</v>
      </c>
      <c r="H6" s="33">
        <f t="shared" si="1"/>
        <v>101000</v>
      </c>
    </row>
    <row r="7" ht="22.5" customHeight="1">
      <c r="A7" s="2" t="s">
        <v>666</v>
      </c>
      <c r="B7" s="2" t="s">
        <v>667</v>
      </c>
      <c r="C7" s="3" t="s">
        <v>601</v>
      </c>
      <c r="D7" s="2" t="s">
        <v>668</v>
      </c>
      <c r="E7" s="32">
        <v>60000.0</v>
      </c>
      <c r="F7" s="32">
        <v>6000.0</v>
      </c>
      <c r="G7" s="32">
        <v>3500.0</v>
      </c>
      <c r="H7" s="33">
        <f t="shared" si="1"/>
        <v>62500</v>
      </c>
    </row>
    <row r="8" ht="22.5" customHeight="1">
      <c r="A8" s="2" t="s">
        <v>669</v>
      </c>
      <c r="B8" s="2" t="s">
        <v>670</v>
      </c>
      <c r="C8" s="3" t="s">
        <v>594</v>
      </c>
      <c r="D8" s="2" t="s">
        <v>671</v>
      </c>
      <c r="E8" s="32">
        <v>45000.0</v>
      </c>
      <c r="F8" s="32">
        <v>4000.0</v>
      </c>
      <c r="G8" s="32">
        <v>2000.0</v>
      </c>
      <c r="H8" s="33">
        <f t="shared" si="1"/>
        <v>47000</v>
      </c>
    </row>
    <row r="9" ht="22.5" customHeight="1">
      <c r="A9" s="2" t="s">
        <v>672</v>
      </c>
      <c r="B9" s="2" t="s">
        <v>673</v>
      </c>
      <c r="C9" s="3" t="s">
        <v>599</v>
      </c>
      <c r="D9" s="2" t="s">
        <v>674</v>
      </c>
      <c r="E9" s="32">
        <v>75000.0</v>
      </c>
      <c r="F9" s="32">
        <v>8000.0</v>
      </c>
      <c r="G9" s="32">
        <v>4000.0</v>
      </c>
      <c r="H9" s="33">
        <f t="shared" si="1"/>
        <v>79000</v>
      </c>
    </row>
    <row r="10" ht="22.5" customHeight="1">
      <c r="A10" s="2" t="s">
        <v>675</v>
      </c>
      <c r="B10" s="2" t="s">
        <v>676</v>
      </c>
      <c r="C10" s="3" t="s">
        <v>591</v>
      </c>
      <c r="D10" s="2" t="s">
        <v>677</v>
      </c>
      <c r="E10" s="32">
        <v>50000.0</v>
      </c>
      <c r="F10" s="32">
        <v>5000.0</v>
      </c>
      <c r="G10" s="32">
        <v>2500.0</v>
      </c>
      <c r="H10" s="33">
        <f t="shared" si="1"/>
        <v>52500</v>
      </c>
    </row>
    <row r="11" ht="22.5" customHeight="1">
      <c r="A11" s="2" t="s">
        <v>678</v>
      </c>
      <c r="B11" s="2" t="s">
        <v>679</v>
      </c>
      <c r="C11" s="3" t="s">
        <v>601</v>
      </c>
      <c r="D11" s="2" t="s">
        <v>680</v>
      </c>
      <c r="E11" s="32">
        <v>35000.0</v>
      </c>
      <c r="F11" s="32">
        <v>2000.0</v>
      </c>
      <c r="G11" s="32">
        <v>1500.0</v>
      </c>
      <c r="H11" s="33">
        <f t="shared" si="1"/>
        <v>35500</v>
      </c>
    </row>
    <row r="12" ht="22.5" customHeight="1">
      <c r="A12" s="2" t="s">
        <v>681</v>
      </c>
      <c r="B12" s="2" t="s">
        <v>682</v>
      </c>
      <c r="C12" s="3" t="s">
        <v>594</v>
      </c>
      <c r="D12" s="2" t="s">
        <v>683</v>
      </c>
      <c r="E12" s="32">
        <v>40000.0</v>
      </c>
      <c r="F12" s="32">
        <v>3000.0</v>
      </c>
      <c r="G12" s="32">
        <v>2000.0</v>
      </c>
      <c r="H12" s="33">
        <f t="shared" si="1"/>
        <v>41000</v>
      </c>
    </row>
    <row r="13" ht="22.5" customHeight="1">
      <c r="A13" s="2" t="s">
        <v>684</v>
      </c>
      <c r="B13" s="2" t="s">
        <v>685</v>
      </c>
      <c r="C13" s="3" t="s">
        <v>599</v>
      </c>
      <c r="D13" s="2" t="s">
        <v>686</v>
      </c>
      <c r="E13" s="32">
        <v>110000.0</v>
      </c>
      <c r="F13" s="32">
        <v>15000.0</v>
      </c>
      <c r="G13" s="32">
        <v>7000.0</v>
      </c>
      <c r="H13" s="33">
        <f t="shared" si="1"/>
        <v>118000</v>
      </c>
    </row>
    <row r="14" ht="22.5" customHeight="1">
      <c r="A14" s="2" t="s">
        <v>687</v>
      </c>
      <c r="B14" s="2" t="s">
        <v>688</v>
      </c>
      <c r="C14" s="3" t="s">
        <v>591</v>
      </c>
      <c r="D14" s="2" t="s">
        <v>689</v>
      </c>
      <c r="E14" s="32">
        <v>80000.0</v>
      </c>
      <c r="F14" s="32">
        <v>9000.0</v>
      </c>
      <c r="G14" s="32">
        <v>4500.0</v>
      </c>
      <c r="H14" s="33">
        <f t="shared" si="1"/>
        <v>84500</v>
      </c>
    </row>
    <row r="15" ht="22.5" customHeight="1">
      <c r="A15" s="2" t="s">
        <v>690</v>
      </c>
      <c r="B15" s="2" t="s">
        <v>691</v>
      </c>
      <c r="C15" s="3" t="s">
        <v>601</v>
      </c>
      <c r="D15" s="2" t="s">
        <v>692</v>
      </c>
      <c r="E15" s="32">
        <v>25000.0</v>
      </c>
      <c r="F15" s="32">
        <v>1000.0</v>
      </c>
      <c r="G15" s="32">
        <v>1000.0</v>
      </c>
      <c r="H15" s="33">
        <f t="shared" si="1"/>
        <v>25000</v>
      </c>
    </row>
    <row r="16" ht="22.5" customHeight="1">
      <c r="A16" s="2" t="s">
        <v>693</v>
      </c>
      <c r="B16" s="2" t="s">
        <v>694</v>
      </c>
      <c r="C16" s="3" t="s">
        <v>594</v>
      </c>
      <c r="D16" s="2" t="s">
        <v>695</v>
      </c>
      <c r="E16" s="32">
        <v>42000.0</v>
      </c>
      <c r="F16" s="32">
        <v>4500.0</v>
      </c>
      <c r="G16" s="32">
        <v>2200.0</v>
      </c>
      <c r="H16" s="33">
        <f t="shared" si="1"/>
        <v>44300</v>
      </c>
    </row>
    <row r="17" ht="22.5" customHeight="1">
      <c r="A17" s="2" t="s">
        <v>696</v>
      </c>
      <c r="B17" s="2" t="s">
        <v>697</v>
      </c>
      <c r="C17" s="3" t="s">
        <v>599</v>
      </c>
      <c r="D17" s="2" t="s">
        <v>698</v>
      </c>
      <c r="E17" s="32">
        <v>90000.0</v>
      </c>
      <c r="F17" s="32">
        <v>11000.0</v>
      </c>
      <c r="G17" s="32">
        <v>5500.0</v>
      </c>
      <c r="H17" s="33">
        <f t="shared" si="1"/>
        <v>95500</v>
      </c>
    </row>
    <row r="18" ht="22.5" customHeight="1">
      <c r="A18" s="2" t="s">
        <v>699</v>
      </c>
      <c r="B18" s="2" t="s">
        <v>700</v>
      </c>
      <c r="C18" s="3" t="s">
        <v>591</v>
      </c>
      <c r="D18" s="2" t="s">
        <v>701</v>
      </c>
      <c r="E18" s="32">
        <v>55000.0</v>
      </c>
      <c r="F18" s="32">
        <v>6000.0</v>
      </c>
      <c r="G18" s="32">
        <v>3000.0</v>
      </c>
      <c r="H18" s="33">
        <f t="shared" si="1"/>
        <v>58000</v>
      </c>
    </row>
    <row r="19" ht="22.5" customHeight="1">
      <c r="A19" s="2" t="s">
        <v>702</v>
      </c>
      <c r="B19" s="2" t="s">
        <v>703</v>
      </c>
      <c r="C19" s="3" t="s">
        <v>601</v>
      </c>
      <c r="D19" s="2" t="s">
        <v>704</v>
      </c>
      <c r="E19" s="32">
        <v>65000.0</v>
      </c>
      <c r="F19" s="32">
        <v>7000.0</v>
      </c>
      <c r="G19" s="32">
        <v>3800.0</v>
      </c>
      <c r="H19" s="33">
        <f t="shared" si="1"/>
        <v>68200</v>
      </c>
    </row>
    <row r="20" ht="22.5" customHeight="1">
      <c r="A20" s="2" t="s">
        <v>705</v>
      </c>
      <c r="B20" s="2" t="s">
        <v>706</v>
      </c>
      <c r="C20" s="3" t="s">
        <v>594</v>
      </c>
      <c r="D20" s="2" t="s">
        <v>707</v>
      </c>
      <c r="E20" s="32">
        <v>70000.0</v>
      </c>
      <c r="F20" s="32">
        <v>8000.0</v>
      </c>
      <c r="G20" s="32">
        <v>4000.0</v>
      </c>
      <c r="H20" s="33">
        <f t="shared" si="1"/>
        <v>74000</v>
      </c>
    </row>
    <row r="21" ht="22.5" customHeight="1">
      <c r="A21" s="2" t="s">
        <v>708</v>
      </c>
      <c r="B21" s="2" t="s">
        <v>709</v>
      </c>
      <c r="C21" s="3" t="s">
        <v>599</v>
      </c>
      <c r="D21" s="2" t="s">
        <v>710</v>
      </c>
      <c r="E21" s="32">
        <v>100000.0</v>
      </c>
      <c r="F21" s="32">
        <v>13000.0</v>
      </c>
      <c r="G21" s="32">
        <v>6500.0</v>
      </c>
      <c r="H21" s="33">
        <f t="shared" si="1"/>
        <v>106500</v>
      </c>
    </row>
    <row r="22" ht="22.5" customHeight="1">
      <c r="A22" s="2" t="s">
        <v>711</v>
      </c>
      <c r="B22" s="2" t="s">
        <v>712</v>
      </c>
      <c r="C22" s="3" t="s">
        <v>591</v>
      </c>
      <c r="D22" s="2" t="s">
        <v>713</v>
      </c>
      <c r="E22" s="32">
        <v>30000.0</v>
      </c>
      <c r="F22" s="32">
        <v>2000.0</v>
      </c>
      <c r="G22" s="32">
        <v>1500.0</v>
      </c>
      <c r="H22" s="33">
        <f t="shared" si="1"/>
        <v>30500</v>
      </c>
    </row>
    <row r="23" ht="22.5" customHeight="1">
      <c r="A23" s="2" t="s">
        <v>714</v>
      </c>
      <c r="B23" s="2" t="s">
        <v>715</v>
      </c>
      <c r="C23" s="3" t="s">
        <v>601</v>
      </c>
      <c r="D23" s="2" t="s">
        <v>716</v>
      </c>
      <c r="E23" s="32">
        <v>55000.0</v>
      </c>
      <c r="F23" s="32">
        <v>5.5003E7</v>
      </c>
      <c r="G23" s="33"/>
      <c r="H23" s="33">
        <f t="shared" si="1"/>
        <v>55058000</v>
      </c>
    </row>
    <row r="24" ht="22.5" customHeight="1">
      <c r="A24" s="2" t="s">
        <v>717</v>
      </c>
      <c r="B24" s="2" t="s">
        <v>718</v>
      </c>
      <c r="C24" s="3" t="s">
        <v>594</v>
      </c>
      <c r="D24" s="2" t="s">
        <v>719</v>
      </c>
      <c r="E24" s="32">
        <v>85000.0</v>
      </c>
      <c r="F24" s="32">
        <v>10000.0</v>
      </c>
      <c r="G24" s="32">
        <v>5000.0</v>
      </c>
      <c r="H24" s="33">
        <f t="shared" si="1"/>
        <v>90000</v>
      </c>
    </row>
    <row r="25" ht="22.5" customHeight="1">
      <c r="A25" s="2" t="s">
        <v>720</v>
      </c>
      <c r="B25" s="2" t="s">
        <v>721</v>
      </c>
      <c r="C25" s="3" t="s">
        <v>599</v>
      </c>
      <c r="D25" s="2" t="s">
        <v>722</v>
      </c>
      <c r="E25" s="32">
        <v>75000.0</v>
      </c>
      <c r="F25" s="32">
        <v>8500.0</v>
      </c>
      <c r="G25" s="32">
        <v>4200.0</v>
      </c>
      <c r="H25" s="33">
        <f t="shared" si="1"/>
        <v>79300</v>
      </c>
    </row>
    <row r="26" ht="22.5" customHeight="1">
      <c r="A26" s="2" t="s">
        <v>723</v>
      </c>
      <c r="B26" s="2" t="s">
        <v>724</v>
      </c>
      <c r="C26" s="3" t="s">
        <v>591</v>
      </c>
      <c r="D26" s="2" t="s">
        <v>725</v>
      </c>
      <c r="E26" s="32">
        <v>50000.0</v>
      </c>
      <c r="F26" s="32">
        <v>5000.0</v>
      </c>
      <c r="G26" s="32">
        <v>2500.0</v>
      </c>
      <c r="H26" s="33">
        <f t="shared" si="1"/>
        <v>52500</v>
      </c>
    </row>
    <row r="27" ht="22.5" customHeight="1">
      <c r="A27" s="2" t="s">
        <v>726</v>
      </c>
      <c r="B27" s="2" t="s">
        <v>727</v>
      </c>
      <c r="C27" s="3" t="s">
        <v>601</v>
      </c>
      <c r="D27" s="2" t="s">
        <v>728</v>
      </c>
      <c r="E27" s="32">
        <v>115000.0</v>
      </c>
      <c r="F27" s="32">
        <v>16000.0</v>
      </c>
      <c r="G27" s="32">
        <v>7500.0</v>
      </c>
      <c r="H27" s="33">
        <f t="shared" si="1"/>
        <v>123500</v>
      </c>
    </row>
    <row r="28" ht="22.5" customHeight="1">
      <c r="A28" s="2" t="s">
        <v>729</v>
      </c>
      <c r="B28" s="2" t="s">
        <v>730</v>
      </c>
      <c r="C28" s="3" t="s">
        <v>594</v>
      </c>
      <c r="D28" s="2" t="s">
        <v>731</v>
      </c>
      <c r="E28" s="32">
        <v>90000.0</v>
      </c>
      <c r="F28" s="32">
        <v>11000.0</v>
      </c>
      <c r="G28" s="32">
        <v>5500.0</v>
      </c>
      <c r="H28" s="33">
        <f t="shared" si="1"/>
        <v>95500</v>
      </c>
    </row>
    <row r="29" ht="22.5" customHeight="1">
      <c r="A29" s="2" t="s">
        <v>732</v>
      </c>
      <c r="B29" s="2" t="s">
        <v>733</v>
      </c>
      <c r="C29" s="3" t="s">
        <v>591</v>
      </c>
      <c r="D29" s="2" t="s">
        <v>734</v>
      </c>
      <c r="E29" s="32">
        <v>95000.0</v>
      </c>
      <c r="F29" s="32">
        <v>12000.0</v>
      </c>
      <c r="G29" s="32">
        <v>6000.0</v>
      </c>
      <c r="H29" s="33">
        <f t="shared" si="1"/>
        <v>101000</v>
      </c>
    </row>
    <row r="30" ht="22.5" customHeight="1">
      <c r="A30" s="2" t="s">
        <v>735</v>
      </c>
      <c r="B30" s="2" t="s">
        <v>736</v>
      </c>
      <c r="C30" s="3" t="s">
        <v>599</v>
      </c>
      <c r="D30" s="2" t="s">
        <v>737</v>
      </c>
      <c r="E30" s="32">
        <v>105000.0</v>
      </c>
      <c r="F30" s="32">
        <v>14000.0</v>
      </c>
      <c r="G30" s="32">
        <v>7000.0</v>
      </c>
      <c r="H30" s="33">
        <f t="shared" si="1"/>
        <v>112000</v>
      </c>
    </row>
    <row r="31" ht="22.5" customHeight="1">
      <c r="A31" s="2" t="s">
        <v>738</v>
      </c>
      <c r="B31" s="2" t="s">
        <v>739</v>
      </c>
      <c r="C31" s="3" t="s">
        <v>601</v>
      </c>
      <c r="D31" s="2" t="s">
        <v>740</v>
      </c>
      <c r="E31" s="32">
        <v>28000.0</v>
      </c>
      <c r="F31" s="32">
        <v>1500.0</v>
      </c>
      <c r="G31" s="32">
        <v>1200.0</v>
      </c>
      <c r="H31" s="33">
        <f t="shared" si="1"/>
        <v>28300</v>
      </c>
    </row>
    <row r="32" ht="22.5" customHeight="1">
      <c r="A32" s="2" t="s">
        <v>741</v>
      </c>
      <c r="B32" s="2" t="s">
        <v>742</v>
      </c>
      <c r="C32" s="3" t="s">
        <v>594</v>
      </c>
      <c r="D32" s="2" t="s">
        <v>743</v>
      </c>
      <c r="E32" s="32">
        <v>70000.0</v>
      </c>
      <c r="F32" s="32">
        <v>7500.0</v>
      </c>
      <c r="G32" s="32">
        <v>3800.0</v>
      </c>
      <c r="H32" s="33">
        <f t="shared" si="1"/>
        <v>73700</v>
      </c>
    </row>
    <row r="33" ht="22.5" customHeight="1">
      <c r="A33" s="2" t="s">
        <v>744</v>
      </c>
      <c r="B33" s="2" t="s">
        <v>745</v>
      </c>
      <c r="C33" s="3" t="s">
        <v>591</v>
      </c>
      <c r="D33" s="2" t="s">
        <v>746</v>
      </c>
      <c r="E33" s="32">
        <v>125000.0</v>
      </c>
      <c r="F33" s="32">
        <v>18000.0</v>
      </c>
      <c r="G33" s="32">
        <v>9000.0</v>
      </c>
      <c r="H33" s="33">
        <f t="shared" si="1"/>
        <v>134000</v>
      </c>
    </row>
    <row r="34" ht="22.5" customHeight="1">
      <c r="A34" s="2" t="s">
        <v>747</v>
      </c>
      <c r="B34" s="2" t="s">
        <v>748</v>
      </c>
      <c r="C34" s="3" t="s">
        <v>599</v>
      </c>
      <c r="D34" s="2" t="s">
        <v>749</v>
      </c>
      <c r="E34" s="32">
        <v>52000.0</v>
      </c>
      <c r="F34" s="32">
        <v>5300.0</v>
      </c>
      <c r="G34" s="32">
        <v>2600.0</v>
      </c>
      <c r="H34" s="33">
        <f t="shared" si="1"/>
        <v>54700</v>
      </c>
    </row>
    <row r="35" ht="22.5" customHeight="1">
      <c r="A35" s="2" t="s">
        <v>750</v>
      </c>
      <c r="B35" s="2" t="s">
        <v>751</v>
      </c>
      <c r="C35" s="3" t="s">
        <v>601</v>
      </c>
      <c r="D35" s="2" t="s">
        <v>752</v>
      </c>
      <c r="E35" s="32">
        <v>60000.0</v>
      </c>
      <c r="F35" s="32">
        <v>6200.0</v>
      </c>
      <c r="G35" s="32">
        <v>3100.0</v>
      </c>
      <c r="H35" s="33">
        <f t="shared" si="1"/>
        <v>63100</v>
      </c>
    </row>
    <row r="36" ht="22.5" customHeight="1">
      <c r="A36" s="2" t="s">
        <v>753</v>
      </c>
      <c r="B36" s="2" t="s">
        <v>754</v>
      </c>
      <c r="C36" s="3" t="s">
        <v>594</v>
      </c>
      <c r="D36" s="2" t="s">
        <v>755</v>
      </c>
      <c r="E36" s="32">
        <v>110000.0</v>
      </c>
      <c r="F36" s="32">
        <v>15000.0</v>
      </c>
      <c r="G36" s="32">
        <v>7500.0</v>
      </c>
      <c r="H36" s="33">
        <f t="shared" si="1"/>
        <v>117500</v>
      </c>
    </row>
    <row r="37" ht="22.5" customHeight="1">
      <c r="A37" s="2" t="s">
        <v>756</v>
      </c>
      <c r="B37" s="2" t="s">
        <v>757</v>
      </c>
      <c r="C37" s="3" t="s">
        <v>591</v>
      </c>
      <c r="D37" s="2" t="s">
        <v>758</v>
      </c>
      <c r="E37" s="32">
        <v>22000.0</v>
      </c>
      <c r="F37" s="32">
        <v>1000.0</v>
      </c>
      <c r="G37" s="32">
        <v>800.0</v>
      </c>
      <c r="H37" s="33">
        <f t="shared" si="1"/>
        <v>22200</v>
      </c>
    </row>
    <row r="38" ht="22.5" customHeight="1">
      <c r="A38" s="2" t="s">
        <v>759</v>
      </c>
      <c r="B38" s="2" t="s">
        <v>760</v>
      </c>
      <c r="C38" s="3" t="s">
        <v>599</v>
      </c>
      <c r="D38" s="2" t="s">
        <v>761</v>
      </c>
      <c r="E38" s="32">
        <v>38000.0</v>
      </c>
      <c r="F38" s="32">
        <v>3800.0</v>
      </c>
      <c r="G38" s="32">
        <v>1900.0</v>
      </c>
      <c r="H38" s="33">
        <f t="shared" si="1"/>
        <v>39900</v>
      </c>
    </row>
    <row r="39" ht="22.5" customHeight="1">
      <c r="A39" s="2" t="s">
        <v>762</v>
      </c>
      <c r="B39" s="2" t="s">
        <v>763</v>
      </c>
      <c r="C39" s="3" t="s">
        <v>601</v>
      </c>
      <c r="D39" s="2" t="s">
        <v>764</v>
      </c>
      <c r="E39" s="32">
        <v>92000.0</v>
      </c>
      <c r="F39" s="32">
        <v>10500.0</v>
      </c>
      <c r="G39" s="32">
        <v>5200.0</v>
      </c>
      <c r="H39" s="33">
        <f t="shared" si="1"/>
        <v>97300</v>
      </c>
    </row>
    <row r="40" ht="22.5" customHeight="1">
      <c r="A40" s="2" t="s">
        <v>765</v>
      </c>
      <c r="B40" s="2" t="s">
        <v>766</v>
      </c>
      <c r="C40" s="3" t="s">
        <v>594</v>
      </c>
      <c r="D40" s="2" t="s">
        <v>767</v>
      </c>
      <c r="E40" s="32">
        <v>68000.0</v>
      </c>
      <c r="F40" s="32">
        <v>7000.0</v>
      </c>
      <c r="G40" s="32">
        <v>3500.0</v>
      </c>
      <c r="H40" s="33">
        <f t="shared" si="1"/>
        <v>71500</v>
      </c>
    </row>
    <row r="41" ht="22.5" customHeight="1">
      <c r="A41" s="2" t="s">
        <v>768</v>
      </c>
      <c r="B41" s="2" t="s">
        <v>769</v>
      </c>
      <c r="C41" s="3" t="s">
        <v>591</v>
      </c>
      <c r="D41" s="2" t="s">
        <v>770</v>
      </c>
      <c r="E41" s="32">
        <v>58000.0</v>
      </c>
      <c r="F41" s="32">
        <v>6000.0</v>
      </c>
      <c r="G41" s="32">
        <v>3000.0</v>
      </c>
      <c r="H41" s="33">
        <f t="shared" si="1"/>
        <v>61000</v>
      </c>
    </row>
    <row r="42" ht="22.5" customHeight="1">
      <c r="A42" s="2" t="s">
        <v>771</v>
      </c>
      <c r="B42" s="2" t="s">
        <v>772</v>
      </c>
      <c r="C42" s="3" t="s">
        <v>599</v>
      </c>
      <c r="D42" s="2" t="s">
        <v>773</v>
      </c>
      <c r="E42" s="32">
        <v>100000.0</v>
      </c>
      <c r="F42" s="32">
        <v>13000.0</v>
      </c>
      <c r="G42" s="32">
        <v>6500.0</v>
      </c>
      <c r="H42" s="33">
        <f t="shared" si="1"/>
        <v>106500</v>
      </c>
    </row>
    <row r="43" ht="22.5" customHeight="1">
      <c r="A43" s="2" t="s">
        <v>774</v>
      </c>
      <c r="B43" s="2" t="s">
        <v>775</v>
      </c>
      <c r="C43" s="3" t="s">
        <v>601</v>
      </c>
      <c r="D43" s="2" t="s">
        <v>776</v>
      </c>
      <c r="E43" s="32">
        <v>72000.0</v>
      </c>
      <c r="F43" s="32">
        <v>8000.0</v>
      </c>
      <c r="G43" s="32">
        <v>4000.0</v>
      </c>
      <c r="H43" s="33">
        <f t="shared" si="1"/>
        <v>76000</v>
      </c>
    </row>
    <row r="44" ht="22.5" customHeight="1">
      <c r="A44" s="2" t="s">
        <v>777</v>
      </c>
      <c r="B44" s="2" t="s">
        <v>778</v>
      </c>
      <c r="C44" s="3" t="s">
        <v>594</v>
      </c>
      <c r="D44" s="2" t="s">
        <v>779</v>
      </c>
      <c r="E44" s="32">
        <v>62000.0</v>
      </c>
      <c r="F44" s="32">
        <v>6500.0</v>
      </c>
      <c r="G44" s="32">
        <v>3200.0</v>
      </c>
      <c r="H44" s="33">
        <f t="shared" si="1"/>
        <v>65300</v>
      </c>
    </row>
    <row r="45" ht="22.5" customHeight="1">
      <c r="A45" s="2" t="s">
        <v>780</v>
      </c>
      <c r="B45" s="2" t="s">
        <v>781</v>
      </c>
      <c r="C45" s="3" t="s">
        <v>591</v>
      </c>
      <c r="D45" s="2" t="s">
        <v>782</v>
      </c>
      <c r="E45" s="32">
        <v>45000.0</v>
      </c>
      <c r="F45" s="32">
        <v>5000.0</v>
      </c>
      <c r="G45" s="32">
        <v>2500.0</v>
      </c>
      <c r="H45" s="33">
        <f t="shared" si="1"/>
        <v>47500</v>
      </c>
    </row>
    <row r="46" ht="22.5" customHeight="1">
      <c r="A46" s="2" t="s">
        <v>783</v>
      </c>
      <c r="B46" s="2" t="s">
        <v>784</v>
      </c>
      <c r="C46" s="3" t="s">
        <v>599</v>
      </c>
      <c r="D46" s="2" t="s">
        <v>785</v>
      </c>
      <c r="E46" s="32">
        <v>25000.0</v>
      </c>
      <c r="F46" s="32">
        <v>2000.0</v>
      </c>
      <c r="G46" s="32">
        <v>1000.0</v>
      </c>
      <c r="H46" s="33">
        <f t="shared" si="1"/>
        <v>26000</v>
      </c>
    </row>
    <row r="47" ht="22.5" customHeight="1">
      <c r="A47" s="2" t="s">
        <v>786</v>
      </c>
      <c r="B47" s="2" t="s">
        <v>787</v>
      </c>
      <c r="C47" s="3" t="s">
        <v>601</v>
      </c>
      <c r="D47" s="2" t="s">
        <v>788</v>
      </c>
      <c r="E47" s="32">
        <v>88000.0</v>
      </c>
      <c r="F47" s="32">
        <v>9500.0</v>
      </c>
      <c r="G47" s="32">
        <v>4700.0</v>
      </c>
      <c r="H47" s="33">
        <f t="shared" si="1"/>
        <v>92800</v>
      </c>
    </row>
    <row r="48" ht="22.5" customHeight="1">
      <c r="A48" s="2" t="s">
        <v>789</v>
      </c>
      <c r="B48" s="2" t="s">
        <v>790</v>
      </c>
      <c r="C48" s="3" t="s">
        <v>594</v>
      </c>
      <c r="D48" s="2" t="s">
        <v>791</v>
      </c>
      <c r="E48" s="32">
        <v>75000.0</v>
      </c>
      <c r="F48" s="32">
        <v>8000.0</v>
      </c>
      <c r="G48" s="32">
        <v>4000.0</v>
      </c>
      <c r="H48" s="33">
        <f t="shared" si="1"/>
        <v>79000</v>
      </c>
    </row>
    <row r="49" ht="22.5" customHeight="1">
      <c r="A49" s="2" t="s">
        <v>792</v>
      </c>
      <c r="B49" s="2" t="s">
        <v>793</v>
      </c>
      <c r="C49" s="3" t="s">
        <v>591</v>
      </c>
      <c r="D49" s="2" t="s">
        <v>794</v>
      </c>
      <c r="E49" s="32">
        <v>80000.0</v>
      </c>
      <c r="F49" s="32">
        <v>9000.0</v>
      </c>
      <c r="G49" s="32">
        <v>4500.0</v>
      </c>
      <c r="H49" s="33">
        <f t="shared" si="1"/>
        <v>84500</v>
      </c>
    </row>
    <row r="50" ht="22.5" customHeight="1">
      <c r="A50" s="2" t="s">
        <v>795</v>
      </c>
      <c r="B50" s="2" t="s">
        <v>796</v>
      </c>
      <c r="C50" s="3" t="s">
        <v>599</v>
      </c>
      <c r="D50" s="2" t="s">
        <v>797</v>
      </c>
      <c r="E50" s="32">
        <v>65000.0</v>
      </c>
      <c r="F50" s="32">
        <v>7000.0</v>
      </c>
      <c r="G50" s="32">
        <v>3500.0</v>
      </c>
      <c r="H50" s="33">
        <f t="shared" si="1"/>
        <v>68500</v>
      </c>
    </row>
    <row r="51" ht="22.5" customHeight="1">
      <c r="A51" s="2" t="s">
        <v>798</v>
      </c>
      <c r="B51" s="2" t="s">
        <v>799</v>
      </c>
      <c r="C51" s="3" t="s">
        <v>601</v>
      </c>
      <c r="D51" s="2" t="s">
        <v>800</v>
      </c>
      <c r="E51" s="32">
        <v>50000.0</v>
      </c>
      <c r="F51" s="32">
        <v>5500.0</v>
      </c>
      <c r="G51" s="32">
        <v>2750.0</v>
      </c>
      <c r="H51" s="33">
        <f t="shared" si="1"/>
        <v>52750</v>
      </c>
    </row>
    <row r="52" ht="22.5" customHeight="1">
      <c r="A52" s="2" t="s">
        <v>801</v>
      </c>
      <c r="B52" s="2" t="s">
        <v>802</v>
      </c>
      <c r="C52" s="3" t="s">
        <v>594</v>
      </c>
      <c r="D52" s="2" t="s">
        <v>803</v>
      </c>
      <c r="E52" s="32">
        <v>85000.0</v>
      </c>
      <c r="F52" s="32">
        <v>10000.0</v>
      </c>
      <c r="G52" s="32">
        <v>5000.0</v>
      </c>
      <c r="H52" s="33">
        <f t="shared" si="1"/>
        <v>90000</v>
      </c>
    </row>
  </sheetData>
  <dataValidations>
    <dataValidation type="list" allowBlank="1" showDropDown="1" showErrorMessage="1" sqref="C3:C52">
      <formula1>"B-101,B-102,B-103,B-104"</formula1>
    </dataValidation>
    <dataValidation type="custom" allowBlank="1" showDropDown="1" sqref="E3:H52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25"/>
    <col customWidth="1" min="3" max="3" width="19.63"/>
    <col customWidth="1" min="4" max="4" width="18.88"/>
    <col customWidth="1" min="5" max="5" width="18.38"/>
    <col customWidth="1" min="6" max="6" width="16.63"/>
    <col customWidth="1" min="7" max="7" width="14.5"/>
    <col customWidth="1" min="10" max="10" width="14.25"/>
    <col customWidth="1" min="11" max="11" width="14.63"/>
    <col customWidth="1" min="12" max="12" width="14.25"/>
  </cols>
  <sheetData>
    <row r="2">
      <c r="B2" s="34"/>
      <c r="C2" s="35"/>
      <c r="D2" s="36" t="s">
        <v>804</v>
      </c>
      <c r="E2" s="37"/>
      <c r="I2" s="38"/>
      <c r="J2" s="39"/>
      <c r="K2" s="40" t="s">
        <v>805</v>
      </c>
    </row>
    <row r="4" ht="22.5" customHeight="1">
      <c r="A4" s="2" t="s">
        <v>806</v>
      </c>
      <c r="B4" s="2" t="s">
        <v>1</v>
      </c>
      <c r="C4" s="2" t="s">
        <v>807</v>
      </c>
      <c r="D4" s="2" t="s">
        <v>808</v>
      </c>
      <c r="E4" s="2" t="s">
        <v>809</v>
      </c>
      <c r="F4" s="2" t="s">
        <v>810</v>
      </c>
      <c r="G4" s="2" t="s">
        <v>811</v>
      </c>
      <c r="I4" s="2" t="s">
        <v>812</v>
      </c>
      <c r="J4" s="2" t="s">
        <v>806</v>
      </c>
      <c r="K4" s="2" t="s">
        <v>813</v>
      </c>
      <c r="L4" s="2" t="s">
        <v>814</v>
      </c>
    </row>
    <row r="5" ht="22.5" customHeight="1">
      <c r="A5" s="2" t="s">
        <v>815</v>
      </c>
      <c r="B5" s="2" t="s">
        <v>816</v>
      </c>
      <c r="C5" s="28">
        <f t="shared" ref="C5:C54" si="1">COUNTIF(J:J, A5)</f>
        <v>4</v>
      </c>
      <c r="D5" s="28">
        <f t="shared" ref="D5:D54" si="2">COUNTIFS(J:J, A5, K:K, "Account")</f>
        <v>1</v>
      </c>
      <c r="E5" s="28">
        <f t="shared" ref="E5:E54" si="3">SUMIFS(L:L, J:J, A5, K:K, "Deposit")</f>
        <v>70000</v>
      </c>
      <c r="F5" s="28">
        <f t="shared" ref="F5:F54" si="4">SUMIFS(L:L, J:J, A5, K:K, "Loan")</f>
        <v>300000</v>
      </c>
      <c r="G5" s="28">
        <f t="shared" ref="G5:G54" si="5">F5 * 0.05</f>
        <v>15000</v>
      </c>
      <c r="I5" s="2" t="s">
        <v>817</v>
      </c>
      <c r="J5" s="2" t="s">
        <v>815</v>
      </c>
      <c r="K5" s="3" t="s">
        <v>818</v>
      </c>
      <c r="L5" s="4">
        <v>50000.0</v>
      </c>
    </row>
    <row r="6" ht="22.5" customHeight="1">
      <c r="A6" s="2" t="s">
        <v>819</v>
      </c>
      <c r="B6" s="2" t="s">
        <v>820</v>
      </c>
      <c r="C6" s="28">
        <f t="shared" si="1"/>
        <v>3</v>
      </c>
      <c r="D6" s="28">
        <f t="shared" si="2"/>
        <v>0</v>
      </c>
      <c r="E6" s="28">
        <f t="shared" si="3"/>
        <v>75000</v>
      </c>
      <c r="F6" s="28">
        <f t="shared" si="4"/>
        <v>380000</v>
      </c>
      <c r="G6" s="28">
        <f t="shared" si="5"/>
        <v>19000</v>
      </c>
      <c r="I6" s="2" t="s">
        <v>821</v>
      </c>
      <c r="J6" s="2" t="s">
        <v>819</v>
      </c>
      <c r="K6" s="3" t="s">
        <v>822</v>
      </c>
      <c r="L6" s="4">
        <v>200000.0</v>
      </c>
    </row>
    <row r="7" ht="22.5" customHeight="1">
      <c r="A7" s="2" t="s">
        <v>823</v>
      </c>
      <c r="B7" s="2" t="s">
        <v>824</v>
      </c>
      <c r="C7" s="28">
        <f t="shared" si="1"/>
        <v>2</v>
      </c>
      <c r="D7" s="28">
        <f t="shared" si="2"/>
        <v>0</v>
      </c>
      <c r="E7" s="28">
        <f t="shared" si="3"/>
        <v>210000</v>
      </c>
      <c r="F7" s="28">
        <f t="shared" si="4"/>
        <v>0</v>
      </c>
      <c r="G7" s="28">
        <f t="shared" si="5"/>
        <v>0</v>
      </c>
      <c r="I7" s="2" t="s">
        <v>825</v>
      </c>
      <c r="J7" s="2" t="s">
        <v>815</v>
      </c>
      <c r="K7" s="3" t="s">
        <v>826</v>
      </c>
      <c r="L7" s="4">
        <v>1000.0</v>
      </c>
    </row>
    <row r="8" ht="22.5" customHeight="1">
      <c r="A8" s="2" t="s">
        <v>827</v>
      </c>
      <c r="B8" s="2" t="s">
        <v>828</v>
      </c>
      <c r="C8" s="28">
        <f t="shared" si="1"/>
        <v>3</v>
      </c>
      <c r="D8" s="28">
        <f t="shared" si="2"/>
        <v>1</v>
      </c>
      <c r="E8" s="28">
        <f t="shared" si="3"/>
        <v>130000</v>
      </c>
      <c r="F8" s="28">
        <f t="shared" si="4"/>
        <v>0</v>
      </c>
      <c r="G8" s="28">
        <f t="shared" si="5"/>
        <v>0</v>
      </c>
      <c r="I8" s="2" t="s">
        <v>829</v>
      </c>
      <c r="J8" s="2" t="s">
        <v>823</v>
      </c>
      <c r="K8" s="3" t="s">
        <v>818</v>
      </c>
      <c r="L8" s="4">
        <v>150000.0</v>
      </c>
    </row>
    <row r="9" ht="22.5" customHeight="1">
      <c r="A9" s="2" t="s">
        <v>830</v>
      </c>
      <c r="B9" s="2" t="s">
        <v>831</v>
      </c>
      <c r="C9" s="28">
        <f t="shared" si="1"/>
        <v>3</v>
      </c>
      <c r="D9" s="28">
        <f t="shared" si="2"/>
        <v>0</v>
      </c>
      <c r="E9" s="28">
        <f t="shared" si="3"/>
        <v>230000</v>
      </c>
      <c r="F9" s="28">
        <f t="shared" si="4"/>
        <v>500000</v>
      </c>
      <c r="G9" s="28">
        <f t="shared" si="5"/>
        <v>25000</v>
      </c>
      <c r="I9" s="2" t="s">
        <v>832</v>
      </c>
      <c r="J9" s="2" t="s">
        <v>830</v>
      </c>
      <c r="K9" s="3" t="s">
        <v>822</v>
      </c>
      <c r="L9" s="4">
        <v>500000.0</v>
      </c>
    </row>
    <row r="10" ht="22.5" customHeight="1">
      <c r="A10" s="2" t="s">
        <v>833</v>
      </c>
      <c r="B10" s="2" t="s">
        <v>834</v>
      </c>
      <c r="C10" s="28">
        <f t="shared" si="1"/>
        <v>1</v>
      </c>
      <c r="D10" s="28">
        <f t="shared" si="2"/>
        <v>0</v>
      </c>
      <c r="E10" s="28">
        <f t="shared" si="3"/>
        <v>120000</v>
      </c>
      <c r="F10" s="28">
        <f t="shared" si="4"/>
        <v>0</v>
      </c>
      <c r="G10" s="28">
        <f t="shared" si="5"/>
        <v>0</v>
      </c>
      <c r="I10" s="2" t="s">
        <v>835</v>
      </c>
      <c r="J10" s="2" t="s">
        <v>819</v>
      </c>
      <c r="K10" s="3" t="s">
        <v>818</v>
      </c>
      <c r="L10" s="4">
        <v>75000.0</v>
      </c>
    </row>
    <row r="11" ht="22.5" customHeight="1">
      <c r="A11" s="2" t="s">
        <v>836</v>
      </c>
      <c r="B11" s="2" t="s">
        <v>837</v>
      </c>
      <c r="C11" s="28">
        <f t="shared" si="1"/>
        <v>2</v>
      </c>
      <c r="D11" s="28">
        <f t="shared" si="2"/>
        <v>0</v>
      </c>
      <c r="E11" s="28">
        <f t="shared" si="3"/>
        <v>160000</v>
      </c>
      <c r="F11" s="28">
        <f t="shared" si="4"/>
        <v>0</v>
      </c>
      <c r="G11" s="28">
        <f t="shared" si="5"/>
        <v>0</v>
      </c>
      <c r="I11" s="2" t="s">
        <v>838</v>
      </c>
      <c r="J11" s="2" t="s">
        <v>827</v>
      </c>
      <c r="K11" s="3" t="s">
        <v>826</v>
      </c>
      <c r="L11" s="4">
        <v>2000.0</v>
      </c>
    </row>
    <row r="12" ht="22.5" customHeight="1">
      <c r="A12" s="2" t="s">
        <v>839</v>
      </c>
      <c r="B12" s="2" t="s">
        <v>840</v>
      </c>
      <c r="C12" s="28">
        <f t="shared" si="1"/>
        <v>1</v>
      </c>
      <c r="D12" s="28">
        <f t="shared" si="2"/>
        <v>1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I12" s="2" t="s">
        <v>841</v>
      </c>
      <c r="J12" s="2" t="s">
        <v>815</v>
      </c>
      <c r="K12" s="3" t="s">
        <v>822</v>
      </c>
      <c r="L12" s="4">
        <v>300000.0</v>
      </c>
    </row>
    <row r="13" ht="22.5" customHeight="1">
      <c r="A13" s="2" t="s">
        <v>842</v>
      </c>
      <c r="B13" s="2" t="s">
        <v>843</v>
      </c>
      <c r="C13" s="28">
        <f t="shared" si="1"/>
        <v>2</v>
      </c>
      <c r="D13" s="28">
        <f t="shared" si="2"/>
        <v>0</v>
      </c>
      <c r="E13" s="28">
        <f t="shared" si="3"/>
        <v>95000</v>
      </c>
      <c r="F13" s="28">
        <f t="shared" si="4"/>
        <v>0</v>
      </c>
      <c r="G13" s="28">
        <f t="shared" si="5"/>
        <v>0</v>
      </c>
      <c r="I13" s="2" t="s">
        <v>844</v>
      </c>
      <c r="J13" s="2" t="s">
        <v>833</v>
      </c>
      <c r="K13" s="3" t="s">
        <v>818</v>
      </c>
      <c r="L13" s="4">
        <v>120000.0</v>
      </c>
    </row>
    <row r="14" ht="22.5" customHeight="1">
      <c r="A14" s="2" t="s">
        <v>845</v>
      </c>
      <c r="B14" s="2" t="s">
        <v>846</v>
      </c>
      <c r="C14" s="28">
        <f t="shared" si="1"/>
        <v>2</v>
      </c>
      <c r="D14" s="28">
        <f t="shared" si="2"/>
        <v>0</v>
      </c>
      <c r="E14" s="28">
        <f t="shared" si="3"/>
        <v>40000</v>
      </c>
      <c r="F14" s="28">
        <f t="shared" si="4"/>
        <v>150000</v>
      </c>
      <c r="G14" s="28">
        <f t="shared" si="5"/>
        <v>7500</v>
      </c>
      <c r="I14" s="2" t="s">
        <v>847</v>
      </c>
      <c r="J14" s="2" t="s">
        <v>839</v>
      </c>
      <c r="K14" s="3" t="s">
        <v>826</v>
      </c>
      <c r="L14" s="4">
        <v>1500.0</v>
      </c>
    </row>
    <row r="15" ht="22.5" customHeight="1">
      <c r="A15" s="2" t="s">
        <v>848</v>
      </c>
      <c r="B15" s="2" t="s">
        <v>849</v>
      </c>
      <c r="C15" s="28">
        <f t="shared" si="1"/>
        <v>2</v>
      </c>
      <c r="D15" s="28">
        <f t="shared" si="2"/>
        <v>2</v>
      </c>
      <c r="E15" s="28">
        <f t="shared" si="3"/>
        <v>0</v>
      </c>
      <c r="F15" s="28">
        <f t="shared" si="4"/>
        <v>0</v>
      </c>
      <c r="G15" s="28">
        <f t="shared" si="5"/>
        <v>0</v>
      </c>
      <c r="I15" s="2" t="s">
        <v>850</v>
      </c>
      <c r="J15" s="2" t="s">
        <v>836</v>
      </c>
      <c r="K15" s="3" t="s">
        <v>818</v>
      </c>
      <c r="L15" s="4">
        <v>90000.0</v>
      </c>
    </row>
    <row r="16" ht="22.5" customHeight="1">
      <c r="A16" s="2" t="s">
        <v>851</v>
      </c>
      <c r="B16" s="2" t="s">
        <v>852</v>
      </c>
      <c r="C16" s="28">
        <f t="shared" si="1"/>
        <v>2</v>
      </c>
      <c r="D16" s="28">
        <f t="shared" si="2"/>
        <v>0</v>
      </c>
      <c r="E16" s="28">
        <f t="shared" si="3"/>
        <v>0</v>
      </c>
      <c r="F16" s="28">
        <f t="shared" si="4"/>
        <v>370000</v>
      </c>
      <c r="G16" s="28">
        <f t="shared" si="5"/>
        <v>18500</v>
      </c>
      <c r="I16" s="2" t="s">
        <v>853</v>
      </c>
      <c r="J16" s="2" t="s">
        <v>845</v>
      </c>
      <c r="K16" s="3" t="s">
        <v>822</v>
      </c>
      <c r="L16" s="4">
        <v>150000.0</v>
      </c>
    </row>
    <row r="17" ht="22.5" customHeight="1">
      <c r="A17" s="2" t="s">
        <v>854</v>
      </c>
      <c r="B17" s="2" t="s">
        <v>855</v>
      </c>
      <c r="C17" s="28">
        <f t="shared" si="1"/>
        <v>2</v>
      </c>
      <c r="D17" s="28">
        <f t="shared" si="2"/>
        <v>0</v>
      </c>
      <c r="E17" s="28">
        <f t="shared" si="3"/>
        <v>85000</v>
      </c>
      <c r="F17" s="28">
        <f t="shared" si="4"/>
        <v>100000</v>
      </c>
      <c r="G17" s="28">
        <f t="shared" si="5"/>
        <v>5000</v>
      </c>
      <c r="I17" s="2" t="s">
        <v>856</v>
      </c>
      <c r="J17" s="2" t="s">
        <v>823</v>
      </c>
      <c r="K17" s="3" t="s">
        <v>818</v>
      </c>
      <c r="L17" s="4">
        <v>60000.0</v>
      </c>
    </row>
    <row r="18" ht="22.5" customHeight="1">
      <c r="A18" s="2" t="s">
        <v>857</v>
      </c>
      <c r="B18" s="2" t="s">
        <v>858</v>
      </c>
      <c r="C18" s="28">
        <f t="shared" si="1"/>
        <v>2</v>
      </c>
      <c r="D18" s="28">
        <f t="shared" si="2"/>
        <v>1</v>
      </c>
      <c r="E18" s="28">
        <f t="shared" si="3"/>
        <v>0</v>
      </c>
      <c r="F18" s="28">
        <f t="shared" si="4"/>
        <v>280000</v>
      </c>
      <c r="G18" s="28">
        <f t="shared" si="5"/>
        <v>14000</v>
      </c>
      <c r="I18" s="2" t="s">
        <v>859</v>
      </c>
      <c r="J18" s="2" t="s">
        <v>848</v>
      </c>
      <c r="K18" s="3" t="s">
        <v>826</v>
      </c>
      <c r="L18" s="4">
        <v>3000.0</v>
      </c>
    </row>
    <row r="19" ht="22.5" customHeight="1">
      <c r="A19" s="2" t="s">
        <v>860</v>
      </c>
      <c r="B19" s="2" t="s">
        <v>861</v>
      </c>
      <c r="C19" s="28">
        <f t="shared" si="1"/>
        <v>2</v>
      </c>
      <c r="D19" s="28">
        <f t="shared" si="2"/>
        <v>1</v>
      </c>
      <c r="E19" s="28">
        <f t="shared" si="3"/>
        <v>100000</v>
      </c>
      <c r="F19" s="28">
        <f t="shared" si="4"/>
        <v>0</v>
      </c>
      <c r="G19" s="28">
        <f t="shared" si="5"/>
        <v>0</v>
      </c>
      <c r="I19" s="2" t="s">
        <v>862</v>
      </c>
      <c r="J19" s="2" t="s">
        <v>842</v>
      </c>
      <c r="K19" s="3" t="s">
        <v>818</v>
      </c>
      <c r="L19" s="4">
        <v>40000.0</v>
      </c>
    </row>
    <row r="20" ht="22.5" customHeight="1">
      <c r="A20" s="2" t="s">
        <v>863</v>
      </c>
      <c r="B20" s="2" t="s">
        <v>864</v>
      </c>
      <c r="C20" s="28">
        <f t="shared" si="1"/>
        <v>2</v>
      </c>
      <c r="D20" s="28">
        <f t="shared" si="2"/>
        <v>1</v>
      </c>
      <c r="E20" s="28">
        <f t="shared" si="3"/>
        <v>130000</v>
      </c>
      <c r="F20" s="28">
        <f t="shared" si="4"/>
        <v>0</v>
      </c>
      <c r="G20" s="28">
        <f t="shared" si="5"/>
        <v>0</v>
      </c>
      <c r="I20" s="2" t="s">
        <v>865</v>
      </c>
      <c r="J20" s="2" t="s">
        <v>851</v>
      </c>
      <c r="K20" s="3" t="s">
        <v>822</v>
      </c>
      <c r="L20" s="4">
        <v>250000.0</v>
      </c>
    </row>
    <row r="21" ht="22.5" customHeight="1">
      <c r="A21" s="2" t="s">
        <v>866</v>
      </c>
      <c r="B21" s="2" t="s">
        <v>867</v>
      </c>
      <c r="C21" s="28">
        <f t="shared" si="1"/>
        <v>2</v>
      </c>
      <c r="D21" s="28">
        <f t="shared" si="2"/>
        <v>0</v>
      </c>
      <c r="E21" s="28">
        <f t="shared" si="3"/>
        <v>0</v>
      </c>
      <c r="F21" s="28">
        <f t="shared" si="4"/>
        <v>720000</v>
      </c>
      <c r="G21" s="28">
        <f t="shared" si="5"/>
        <v>36000</v>
      </c>
      <c r="I21" s="2" t="s">
        <v>868</v>
      </c>
      <c r="J21" s="2" t="s">
        <v>827</v>
      </c>
      <c r="K21" s="3" t="s">
        <v>818</v>
      </c>
      <c r="L21" s="4">
        <v>80000.0</v>
      </c>
    </row>
    <row r="22" ht="22.5" customHeight="1">
      <c r="A22" s="2" t="s">
        <v>869</v>
      </c>
      <c r="B22" s="2" t="s">
        <v>870</v>
      </c>
      <c r="C22" s="28">
        <f t="shared" si="1"/>
        <v>2</v>
      </c>
      <c r="D22" s="28">
        <f t="shared" si="2"/>
        <v>2</v>
      </c>
      <c r="E22" s="28">
        <f t="shared" si="3"/>
        <v>0</v>
      </c>
      <c r="F22" s="28">
        <f t="shared" si="4"/>
        <v>0</v>
      </c>
      <c r="G22" s="28">
        <f t="shared" si="5"/>
        <v>0</v>
      </c>
      <c r="I22" s="2" t="s">
        <v>871</v>
      </c>
      <c r="J22" s="2" t="s">
        <v>857</v>
      </c>
      <c r="K22" s="3" t="s">
        <v>826</v>
      </c>
      <c r="L22" s="4">
        <v>2500.0</v>
      </c>
    </row>
    <row r="23" ht="22.5" customHeight="1">
      <c r="A23" s="2" t="s">
        <v>872</v>
      </c>
      <c r="B23" s="2" t="s">
        <v>873</v>
      </c>
      <c r="C23" s="28">
        <f t="shared" si="1"/>
        <v>2</v>
      </c>
      <c r="D23" s="28">
        <f t="shared" si="2"/>
        <v>0</v>
      </c>
      <c r="E23" s="28">
        <f t="shared" si="3"/>
        <v>65000</v>
      </c>
      <c r="F23" s="28">
        <f t="shared" si="4"/>
        <v>350000</v>
      </c>
      <c r="G23" s="28">
        <f t="shared" si="5"/>
        <v>17500</v>
      </c>
      <c r="I23" s="2" t="s">
        <v>874</v>
      </c>
      <c r="J23" s="2" t="s">
        <v>830</v>
      </c>
      <c r="K23" s="3" t="s">
        <v>818</v>
      </c>
      <c r="L23" s="4">
        <v>110000.0</v>
      </c>
    </row>
    <row r="24" ht="22.5" customHeight="1">
      <c r="A24" s="2" t="s">
        <v>875</v>
      </c>
      <c r="B24" s="2" t="s">
        <v>876</v>
      </c>
      <c r="C24" s="28">
        <f t="shared" si="1"/>
        <v>2</v>
      </c>
      <c r="D24" s="28">
        <f t="shared" si="2"/>
        <v>0</v>
      </c>
      <c r="E24" s="28">
        <f t="shared" si="3"/>
        <v>95000</v>
      </c>
      <c r="F24" s="28">
        <f t="shared" si="4"/>
        <v>450000</v>
      </c>
      <c r="G24" s="28">
        <f t="shared" si="5"/>
        <v>22500</v>
      </c>
      <c r="I24" s="2" t="s">
        <v>877</v>
      </c>
      <c r="J24" s="2" t="s">
        <v>854</v>
      </c>
      <c r="K24" s="3" t="s">
        <v>822</v>
      </c>
      <c r="L24" s="4">
        <v>100000.0</v>
      </c>
    </row>
    <row r="25" ht="22.5" customHeight="1">
      <c r="A25" s="2" t="s">
        <v>878</v>
      </c>
      <c r="B25" s="2" t="s">
        <v>879</v>
      </c>
      <c r="C25" s="28">
        <f t="shared" si="1"/>
        <v>1</v>
      </c>
      <c r="D25" s="28">
        <f t="shared" si="2"/>
        <v>1</v>
      </c>
      <c r="E25" s="28">
        <f t="shared" si="3"/>
        <v>0</v>
      </c>
      <c r="F25" s="28">
        <f t="shared" si="4"/>
        <v>0</v>
      </c>
      <c r="G25" s="28">
        <f t="shared" si="5"/>
        <v>0</v>
      </c>
      <c r="I25" s="2" t="s">
        <v>880</v>
      </c>
      <c r="J25" s="2" t="s">
        <v>836</v>
      </c>
      <c r="K25" s="3" t="s">
        <v>818</v>
      </c>
      <c r="L25" s="4">
        <v>70000.0</v>
      </c>
    </row>
    <row r="26" ht="22.5" customHeight="1">
      <c r="A26" s="2" t="s">
        <v>881</v>
      </c>
      <c r="B26" s="2" t="s">
        <v>882</v>
      </c>
      <c r="C26" s="28">
        <f t="shared" si="1"/>
        <v>1</v>
      </c>
      <c r="D26" s="28">
        <f t="shared" si="2"/>
        <v>0</v>
      </c>
      <c r="E26" s="28">
        <f t="shared" si="3"/>
        <v>180000</v>
      </c>
      <c r="F26" s="28">
        <f t="shared" si="4"/>
        <v>0</v>
      </c>
      <c r="G26" s="28">
        <f t="shared" si="5"/>
        <v>0</v>
      </c>
      <c r="I26" s="2" t="s">
        <v>883</v>
      </c>
      <c r="J26" s="2" t="s">
        <v>860</v>
      </c>
      <c r="K26" s="3" t="s">
        <v>826</v>
      </c>
      <c r="L26" s="4">
        <v>1000.0</v>
      </c>
    </row>
    <row r="27" ht="22.5" customHeight="1">
      <c r="A27" s="2" t="s">
        <v>884</v>
      </c>
      <c r="B27" s="2" t="s">
        <v>885</v>
      </c>
      <c r="C27" s="28">
        <f t="shared" si="1"/>
        <v>1</v>
      </c>
      <c r="D27" s="28">
        <f t="shared" si="2"/>
        <v>0</v>
      </c>
      <c r="E27" s="28">
        <f t="shared" si="3"/>
        <v>60000</v>
      </c>
      <c r="F27" s="28">
        <f t="shared" si="4"/>
        <v>0</v>
      </c>
      <c r="G27" s="28">
        <f t="shared" si="5"/>
        <v>0</v>
      </c>
      <c r="I27" s="2" t="s">
        <v>886</v>
      </c>
      <c r="J27" s="2" t="s">
        <v>863</v>
      </c>
      <c r="K27" s="3" t="s">
        <v>818</v>
      </c>
      <c r="L27" s="4">
        <v>130000.0</v>
      </c>
    </row>
    <row r="28" ht="22.5" customHeight="1">
      <c r="A28" s="2" t="s">
        <v>887</v>
      </c>
      <c r="B28" s="2" t="s">
        <v>888</v>
      </c>
      <c r="C28" s="28">
        <f t="shared" si="1"/>
        <v>1</v>
      </c>
      <c r="D28" s="28">
        <f t="shared" si="2"/>
        <v>1</v>
      </c>
      <c r="E28" s="28">
        <f t="shared" si="3"/>
        <v>0</v>
      </c>
      <c r="F28" s="28">
        <f t="shared" si="4"/>
        <v>0</v>
      </c>
      <c r="G28" s="28">
        <f t="shared" si="5"/>
        <v>0</v>
      </c>
      <c r="I28" s="2" t="s">
        <v>889</v>
      </c>
      <c r="J28" s="2" t="s">
        <v>866</v>
      </c>
      <c r="K28" s="3" t="s">
        <v>822</v>
      </c>
      <c r="L28" s="4">
        <v>400000.0</v>
      </c>
    </row>
    <row r="29" ht="22.5" customHeight="1">
      <c r="A29" s="2" t="s">
        <v>890</v>
      </c>
      <c r="B29" s="2" t="s">
        <v>891</v>
      </c>
      <c r="C29" s="28">
        <f t="shared" si="1"/>
        <v>1</v>
      </c>
      <c r="D29" s="28">
        <f t="shared" si="2"/>
        <v>0</v>
      </c>
      <c r="E29" s="28">
        <f t="shared" si="3"/>
        <v>0</v>
      </c>
      <c r="F29" s="28">
        <f t="shared" si="4"/>
        <v>220000</v>
      </c>
      <c r="G29" s="28">
        <f t="shared" si="5"/>
        <v>11000</v>
      </c>
      <c r="I29" s="2" t="s">
        <v>892</v>
      </c>
      <c r="J29" s="2" t="s">
        <v>842</v>
      </c>
      <c r="K29" s="3" t="s">
        <v>818</v>
      </c>
      <c r="L29" s="4">
        <v>55000.0</v>
      </c>
    </row>
    <row r="30" ht="22.5" customHeight="1">
      <c r="A30" s="2" t="s">
        <v>893</v>
      </c>
      <c r="B30" s="2" t="s">
        <v>894</v>
      </c>
      <c r="C30" s="28">
        <f t="shared" si="1"/>
        <v>1</v>
      </c>
      <c r="D30" s="28">
        <f t="shared" si="2"/>
        <v>0</v>
      </c>
      <c r="E30" s="28">
        <f t="shared" si="3"/>
        <v>70000</v>
      </c>
      <c r="F30" s="28">
        <f t="shared" si="4"/>
        <v>0</v>
      </c>
      <c r="G30" s="28">
        <f t="shared" si="5"/>
        <v>0</v>
      </c>
      <c r="I30" s="2" t="s">
        <v>895</v>
      </c>
      <c r="J30" s="2" t="s">
        <v>869</v>
      </c>
      <c r="K30" s="3" t="s">
        <v>826</v>
      </c>
      <c r="L30" s="4">
        <v>4000.0</v>
      </c>
    </row>
    <row r="31" ht="22.5" customHeight="1">
      <c r="A31" s="2" t="s">
        <v>896</v>
      </c>
      <c r="B31" s="2" t="s">
        <v>897</v>
      </c>
      <c r="C31" s="28">
        <f t="shared" si="1"/>
        <v>1</v>
      </c>
      <c r="D31" s="28">
        <f t="shared" si="2"/>
        <v>1</v>
      </c>
      <c r="E31" s="28">
        <f t="shared" si="3"/>
        <v>0</v>
      </c>
      <c r="F31" s="28">
        <f t="shared" si="4"/>
        <v>0</v>
      </c>
      <c r="G31" s="28">
        <f t="shared" si="5"/>
        <v>0</v>
      </c>
      <c r="I31" s="2" t="s">
        <v>898</v>
      </c>
      <c r="J31" s="2" t="s">
        <v>815</v>
      </c>
      <c r="K31" s="3" t="s">
        <v>818</v>
      </c>
      <c r="L31" s="4">
        <v>20000.0</v>
      </c>
    </row>
    <row r="32" ht="22.5" customHeight="1">
      <c r="A32" s="2" t="s">
        <v>899</v>
      </c>
      <c r="B32" s="2" t="s">
        <v>900</v>
      </c>
      <c r="C32" s="28">
        <f t="shared" si="1"/>
        <v>0</v>
      </c>
      <c r="D32" s="28">
        <f t="shared" si="2"/>
        <v>0</v>
      </c>
      <c r="E32" s="28">
        <f t="shared" si="3"/>
        <v>0</v>
      </c>
      <c r="F32" s="28">
        <f t="shared" si="4"/>
        <v>0</v>
      </c>
      <c r="G32" s="28">
        <f t="shared" si="5"/>
        <v>0</v>
      </c>
      <c r="I32" s="2" t="s">
        <v>901</v>
      </c>
      <c r="J32" s="2" t="s">
        <v>872</v>
      </c>
      <c r="K32" s="3" t="s">
        <v>822</v>
      </c>
      <c r="L32" s="4">
        <v>350000.0</v>
      </c>
    </row>
    <row r="33" ht="22.5" customHeight="1">
      <c r="A33" s="2" t="s">
        <v>902</v>
      </c>
      <c r="B33" s="2" t="s">
        <v>903</v>
      </c>
      <c r="C33" s="28">
        <f t="shared" si="1"/>
        <v>0</v>
      </c>
      <c r="D33" s="28">
        <f t="shared" si="2"/>
        <v>0</v>
      </c>
      <c r="E33" s="28">
        <f t="shared" si="3"/>
        <v>0</v>
      </c>
      <c r="F33" s="28">
        <f t="shared" si="4"/>
        <v>0</v>
      </c>
      <c r="G33" s="28">
        <f t="shared" si="5"/>
        <v>0</v>
      </c>
      <c r="I33" s="2" t="s">
        <v>904</v>
      </c>
      <c r="J33" s="2" t="s">
        <v>875</v>
      </c>
      <c r="K33" s="3" t="s">
        <v>818</v>
      </c>
      <c r="L33" s="4">
        <v>95000.0</v>
      </c>
    </row>
    <row r="34" ht="22.5" customHeight="1">
      <c r="A34" s="2" t="s">
        <v>905</v>
      </c>
      <c r="B34" s="2" t="s">
        <v>906</v>
      </c>
      <c r="C34" s="28">
        <f t="shared" si="1"/>
        <v>0</v>
      </c>
      <c r="D34" s="28">
        <f t="shared" si="2"/>
        <v>0</v>
      </c>
      <c r="E34" s="28">
        <f t="shared" si="3"/>
        <v>0</v>
      </c>
      <c r="F34" s="28">
        <f t="shared" si="4"/>
        <v>0</v>
      </c>
      <c r="G34" s="28">
        <f t="shared" si="5"/>
        <v>0</v>
      </c>
      <c r="I34" s="2" t="s">
        <v>907</v>
      </c>
      <c r="J34" s="2" t="s">
        <v>878</v>
      </c>
      <c r="K34" s="3" t="s">
        <v>826</v>
      </c>
      <c r="L34" s="4">
        <v>2000.0</v>
      </c>
    </row>
    <row r="35" ht="22.5" customHeight="1">
      <c r="A35" s="2" t="s">
        <v>908</v>
      </c>
      <c r="B35" s="2" t="s">
        <v>909</v>
      </c>
      <c r="C35" s="28">
        <f t="shared" si="1"/>
        <v>0</v>
      </c>
      <c r="D35" s="28">
        <f t="shared" si="2"/>
        <v>0</v>
      </c>
      <c r="E35" s="28">
        <f t="shared" si="3"/>
        <v>0</v>
      </c>
      <c r="F35" s="28">
        <f t="shared" si="4"/>
        <v>0</v>
      </c>
      <c r="G35" s="28">
        <f t="shared" si="5"/>
        <v>0</v>
      </c>
      <c r="I35" s="2" t="s">
        <v>910</v>
      </c>
      <c r="J35" s="2" t="s">
        <v>881</v>
      </c>
      <c r="K35" s="3" t="s">
        <v>818</v>
      </c>
      <c r="L35" s="4">
        <v>180000.0</v>
      </c>
    </row>
    <row r="36" ht="22.5" customHeight="1">
      <c r="A36" s="2" t="s">
        <v>911</v>
      </c>
      <c r="B36" s="2" t="s">
        <v>912</v>
      </c>
      <c r="C36" s="28">
        <f t="shared" si="1"/>
        <v>0</v>
      </c>
      <c r="D36" s="28">
        <f t="shared" si="2"/>
        <v>0</v>
      </c>
      <c r="E36" s="28">
        <f t="shared" si="3"/>
        <v>0</v>
      </c>
      <c r="F36" s="28">
        <f t="shared" si="4"/>
        <v>0</v>
      </c>
      <c r="G36" s="28">
        <f t="shared" si="5"/>
        <v>0</v>
      </c>
      <c r="I36" s="2" t="s">
        <v>913</v>
      </c>
      <c r="J36" s="2" t="s">
        <v>851</v>
      </c>
      <c r="K36" s="3" t="s">
        <v>822</v>
      </c>
      <c r="L36" s="4">
        <v>120000.0</v>
      </c>
    </row>
    <row r="37" ht="22.5" customHeight="1">
      <c r="A37" s="2" t="s">
        <v>914</v>
      </c>
      <c r="B37" s="2" t="s">
        <v>915</v>
      </c>
      <c r="C37" s="28">
        <f t="shared" si="1"/>
        <v>0</v>
      </c>
      <c r="D37" s="28">
        <f t="shared" si="2"/>
        <v>0</v>
      </c>
      <c r="E37" s="28">
        <f t="shared" si="3"/>
        <v>0</v>
      </c>
      <c r="F37" s="28">
        <f t="shared" si="4"/>
        <v>0</v>
      </c>
      <c r="G37" s="28">
        <f t="shared" si="5"/>
        <v>0</v>
      </c>
      <c r="I37" s="2" t="s">
        <v>916</v>
      </c>
      <c r="J37" s="2" t="s">
        <v>884</v>
      </c>
      <c r="K37" s="3" t="s">
        <v>818</v>
      </c>
      <c r="L37" s="4">
        <v>60000.0</v>
      </c>
    </row>
    <row r="38" ht="22.5" customHeight="1">
      <c r="A38" s="2" t="s">
        <v>917</v>
      </c>
      <c r="B38" s="2" t="s">
        <v>918</v>
      </c>
      <c r="C38" s="28">
        <f t="shared" si="1"/>
        <v>0</v>
      </c>
      <c r="D38" s="28">
        <f t="shared" si="2"/>
        <v>0</v>
      </c>
      <c r="E38" s="28">
        <f t="shared" si="3"/>
        <v>0</v>
      </c>
      <c r="F38" s="28">
        <f t="shared" si="4"/>
        <v>0</v>
      </c>
      <c r="G38" s="28">
        <f t="shared" si="5"/>
        <v>0</v>
      </c>
      <c r="I38" s="2" t="s">
        <v>919</v>
      </c>
      <c r="J38" s="2" t="s">
        <v>887</v>
      </c>
      <c r="K38" s="3" t="s">
        <v>826</v>
      </c>
      <c r="L38" s="4">
        <v>1500.0</v>
      </c>
    </row>
    <row r="39" ht="22.5" customHeight="1">
      <c r="A39" s="2" t="s">
        <v>920</v>
      </c>
      <c r="B39" s="2" t="s">
        <v>921</v>
      </c>
      <c r="C39" s="28">
        <f t="shared" si="1"/>
        <v>0</v>
      </c>
      <c r="D39" s="28">
        <f t="shared" si="2"/>
        <v>0</v>
      </c>
      <c r="E39" s="28">
        <f t="shared" si="3"/>
        <v>0</v>
      </c>
      <c r="F39" s="28">
        <f t="shared" si="4"/>
        <v>0</v>
      </c>
      <c r="G39" s="28">
        <f t="shared" si="5"/>
        <v>0</v>
      </c>
      <c r="I39" s="2" t="s">
        <v>922</v>
      </c>
      <c r="J39" s="2" t="s">
        <v>890</v>
      </c>
      <c r="K39" s="3" t="s">
        <v>822</v>
      </c>
      <c r="L39" s="4">
        <v>220000.0</v>
      </c>
    </row>
    <row r="40" ht="22.5" customHeight="1">
      <c r="A40" s="2" t="s">
        <v>923</v>
      </c>
      <c r="B40" s="2" t="s">
        <v>924</v>
      </c>
      <c r="C40" s="28">
        <f t="shared" si="1"/>
        <v>0</v>
      </c>
      <c r="D40" s="28">
        <f t="shared" si="2"/>
        <v>0</v>
      </c>
      <c r="E40" s="28">
        <f t="shared" si="3"/>
        <v>0</v>
      </c>
      <c r="F40" s="28">
        <f t="shared" si="4"/>
        <v>0</v>
      </c>
      <c r="G40" s="28">
        <f t="shared" si="5"/>
        <v>0</v>
      </c>
      <c r="I40" s="2" t="s">
        <v>925</v>
      </c>
      <c r="J40" s="2" t="s">
        <v>845</v>
      </c>
      <c r="K40" s="3" t="s">
        <v>818</v>
      </c>
      <c r="L40" s="4">
        <v>40000.0</v>
      </c>
    </row>
    <row r="41" ht="22.5" customHeight="1">
      <c r="A41" s="2" t="s">
        <v>926</v>
      </c>
      <c r="B41" s="2" t="s">
        <v>927</v>
      </c>
      <c r="C41" s="28">
        <f t="shared" si="1"/>
        <v>0</v>
      </c>
      <c r="D41" s="28">
        <f t="shared" si="2"/>
        <v>0</v>
      </c>
      <c r="E41" s="28">
        <f t="shared" si="3"/>
        <v>0</v>
      </c>
      <c r="F41" s="28">
        <f t="shared" si="4"/>
        <v>0</v>
      </c>
      <c r="G41" s="28">
        <f t="shared" si="5"/>
        <v>0</v>
      </c>
      <c r="I41" s="2" t="s">
        <v>928</v>
      </c>
      <c r="J41" s="2" t="s">
        <v>848</v>
      </c>
      <c r="K41" s="3" t="s">
        <v>826</v>
      </c>
      <c r="L41" s="4">
        <v>3000.0</v>
      </c>
    </row>
    <row r="42" ht="22.5" customHeight="1">
      <c r="A42" s="2" t="s">
        <v>929</v>
      </c>
      <c r="B42" s="2" t="s">
        <v>930</v>
      </c>
      <c r="C42" s="28">
        <f t="shared" si="1"/>
        <v>0</v>
      </c>
      <c r="D42" s="28">
        <f t="shared" si="2"/>
        <v>0</v>
      </c>
      <c r="E42" s="28">
        <f t="shared" si="3"/>
        <v>0</v>
      </c>
      <c r="F42" s="28">
        <f t="shared" si="4"/>
        <v>0</v>
      </c>
      <c r="G42" s="28">
        <f t="shared" si="5"/>
        <v>0</v>
      </c>
      <c r="I42" s="2" t="s">
        <v>931</v>
      </c>
      <c r="J42" s="2" t="s">
        <v>854</v>
      </c>
      <c r="K42" s="3" t="s">
        <v>818</v>
      </c>
      <c r="L42" s="4">
        <v>85000.0</v>
      </c>
    </row>
    <row r="43" ht="22.5" customHeight="1">
      <c r="A43" s="2" t="s">
        <v>932</v>
      </c>
      <c r="B43" s="2" t="s">
        <v>933</v>
      </c>
      <c r="C43" s="28">
        <f t="shared" si="1"/>
        <v>0</v>
      </c>
      <c r="D43" s="28">
        <f t="shared" si="2"/>
        <v>0</v>
      </c>
      <c r="E43" s="28">
        <f t="shared" si="3"/>
        <v>0</v>
      </c>
      <c r="F43" s="28">
        <f t="shared" si="4"/>
        <v>0</v>
      </c>
      <c r="G43" s="28">
        <f t="shared" si="5"/>
        <v>0</v>
      </c>
      <c r="I43" s="2" t="s">
        <v>934</v>
      </c>
      <c r="J43" s="2" t="s">
        <v>857</v>
      </c>
      <c r="K43" s="3" t="s">
        <v>822</v>
      </c>
      <c r="L43" s="4">
        <v>280000.0</v>
      </c>
    </row>
    <row r="44" ht="22.5" customHeight="1">
      <c r="A44" s="2" t="s">
        <v>935</v>
      </c>
      <c r="B44" s="2" t="s">
        <v>936</v>
      </c>
      <c r="C44" s="28">
        <f t="shared" si="1"/>
        <v>0</v>
      </c>
      <c r="D44" s="28">
        <f t="shared" si="2"/>
        <v>0</v>
      </c>
      <c r="E44" s="28">
        <f t="shared" si="3"/>
        <v>0</v>
      </c>
      <c r="F44" s="28">
        <f t="shared" si="4"/>
        <v>0</v>
      </c>
      <c r="G44" s="28">
        <f t="shared" si="5"/>
        <v>0</v>
      </c>
      <c r="I44" s="2" t="s">
        <v>937</v>
      </c>
      <c r="J44" s="2" t="s">
        <v>893</v>
      </c>
      <c r="K44" s="3" t="s">
        <v>818</v>
      </c>
      <c r="L44" s="4">
        <v>70000.0</v>
      </c>
    </row>
    <row r="45" ht="22.5" customHeight="1">
      <c r="A45" s="2" t="s">
        <v>938</v>
      </c>
      <c r="B45" s="2" t="s">
        <v>939</v>
      </c>
      <c r="C45" s="28">
        <f t="shared" si="1"/>
        <v>0</v>
      </c>
      <c r="D45" s="28">
        <f t="shared" si="2"/>
        <v>0</v>
      </c>
      <c r="E45" s="28">
        <f t="shared" si="3"/>
        <v>0</v>
      </c>
      <c r="F45" s="28">
        <f t="shared" si="4"/>
        <v>0</v>
      </c>
      <c r="G45" s="28">
        <f t="shared" si="5"/>
        <v>0</v>
      </c>
      <c r="I45" s="2" t="s">
        <v>940</v>
      </c>
      <c r="J45" s="2" t="s">
        <v>896</v>
      </c>
      <c r="K45" s="3" t="s">
        <v>826</v>
      </c>
      <c r="L45" s="4">
        <v>2500.0</v>
      </c>
    </row>
    <row r="46" ht="22.5" customHeight="1">
      <c r="A46" s="2" t="s">
        <v>941</v>
      </c>
      <c r="B46" s="2" t="s">
        <v>942</v>
      </c>
      <c r="C46" s="28">
        <f t="shared" si="1"/>
        <v>0</v>
      </c>
      <c r="D46" s="28">
        <f t="shared" si="2"/>
        <v>0</v>
      </c>
      <c r="E46" s="28">
        <f t="shared" si="3"/>
        <v>0</v>
      </c>
      <c r="F46" s="28">
        <f t="shared" si="4"/>
        <v>0</v>
      </c>
      <c r="G46" s="28">
        <f t="shared" si="5"/>
        <v>0</v>
      </c>
      <c r="I46" s="2" t="s">
        <v>943</v>
      </c>
      <c r="J46" s="2" t="s">
        <v>819</v>
      </c>
      <c r="K46" s="3" t="s">
        <v>822</v>
      </c>
      <c r="L46" s="4">
        <v>180000.0</v>
      </c>
    </row>
    <row r="47" ht="22.5" customHeight="1">
      <c r="A47" s="2" t="s">
        <v>944</v>
      </c>
      <c r="B47" s="2" t="s">
        <v>945</v>
      </c>
      <c r="C47" s="28">
        <f t="shared" si="1"/>
        <v>0</v>
      </c>
      <c r="D47" s="28">
        <f t="shared" si="2"/>
        <v>0</v>
      </c>
      <c r="E47" s="28">
        <f t="shared" si="3"/>
        <v>0</v>
      </c>
      <c r="F47" s="28">
        <f t="shared" si="4"/>
        <v>0</v>
      </c>
      <c r="G47" s="28">
        <f t="shared" si="5"/>
        <v>0</v>
      </c>
      <c r="I47" s="2" t="s">
        <v>946</v>
      </c>
      <c r="J47" s="2" t="s">
        <v>860</v>
      </c>
      <c r="K47" s="3" t="s">
        <v>818</v>
      </c>
      <c r="L47" s="4">
        <v>100000.0</v>
      </c>
    </row>
    <row r="48" ht="22.5" customHeight="1">
      <c r="A48" s="2" t="s">
        <v>947</v>
      </c>
      <c r="B48" s="2" t="s">
        <v>948</v>
      </c>
      <c r="C48" s="28">
        <f t="shared" si="1"/>
        <v>0</v>
      </c>
      <c r="D48" s="28">
        <f t="shared" si="2"/>
        <v>0</v>
      </c>
      <c r="E48" s="28">
        <f t="shared" si="3"/>
        <v>0</v>
      </c>
      <c r="F48" s="28">
        <f t="shared" si="4"/>
        <v>0</v>
      </c>
      <c r="G48" s="28">
        <f t="shared" si="5"/>
        <v>0</v>
      </c>
      <c r="I48" s="2" t="s">
        <v>949</v>
      </c>
      <c r="J48" s="2" t="s">
        <v>863</v>
      </c>
      <c r="K48" s="3" t="s">
        <v>826</v>
      </c>
      <c r="L48" s="4">
        <v>3500.0</v>
      </c>
    </row>
    <row r="49" ht="22.5" customHeight="1">
      <c r="A49" s="2" t="s">
        <v>950</v>
      </c>
      <c r="B49" s="2" t="s">
        <v>951</v>
      </c>
      <c r="C49" s="28">
        <f t="shared" si="1"/>
        <v>0</v>
      </c>
      <c r="D49" s="28">
        <f t="shared" si="2"/>
        <v>0</v>
      </c>
      <c r="E49" s="28">
        <f t="shared" si="3"/>
        <v>0</v>
      </c>
      <c r="F49" s="28">
        <f t="shared" si="4"/>
        <v>0</v>
      </c>
      <c r="G49" s="28">
        <f t="shared" si="5"/>
        <v>0</v>
      </c>
      <c r="I49" s="2" t="s">
        <v>952</v>
      </c>
      <c r="J49" s="2" t="s">
        <v>827</v>
      </c>
      <c r="K49" s="3" t="s">
        <v>818</v>
      </c>
      <c r="L49" s="4">
        <v>50000.0</v>
      </c>
    </row>
    <row r="50" ht="22.5" customHeight="1">
      <c r="A50" s="2" t="s">
        <v>953</v>
      </c>
      <c r="B50" s="2" t="s">
        <v>954</v>
      </c>
      <c r="C50" s="28">
        <f t="shared" si="1"/>
        <v>0</v>
      </c>
      <c r="D50" s="28">
        <f t="shared" si="2"/>
        <v>0</v>
      </c>
      <c r="E50" s="28">
        <f t="shared" si="3"/>
        <v>0</v>
      </c>
      <c r="F50" s="28">
        <f t="shared" si="4"/>
        <v>0</v>
      </c>
      <c r="G50" s="28">
        <f t="shared" si="5"/>
        <v>0</v>
      </c>
      <c r="I50" s="2" t="s">
        <v>955</v>
      </c>
      <c r="J50" s="2" t="s">
        <v>866</v>
      </c>
      <c r="K50" s="3" t="s">
        <v>822</v>
      </c>
      <c r="L50" s="4">
        <v>320000.0</v>
      </c>
    </row>
    <row r="51" ht="22.5" customHeight="1">
      <c r="A51" s="2" t="s">
        <v>956</v>
      </c>
      <c r="B51" s="2" t="s">
        <v>957</v>
      </c>
      <c r="C51" s="28">
        <f t="shared" si="1"/>
        <v>0</v>
      </c>
      <c r="D51" s="28">
        <f t="shared" si="2"/>
        <v>0</v>
      </c>
      <c r="E51" s="28">
        <f t="shared" si="3"/>
        <v>0</v>
      </c>
      <c r="F51" s="28">
        <f t="shared" si="4"/>
        <v>0</v>
      </c>
      <c r="G51" s="28">
        <f t="shared" si="5"/>
        <v>0</v>
      </c>
      <c r="I51" s="2" t="s">
        <v>958</v>
      </c>
      <c r="J51" s="2" t="s">
        <v>830</v>
      </c>
      <c r="K51" s="3" t="s">
        <v>818</v>
      </c>
      <c r="L51" s="4">
        <v>120000.0</v>
      </c>
    </row>
    <row r="52" ht="22.5" customHeight="1">
      <c r="A52" s="2" t="s">
        <v>959</v>
      </c>
      <c r="B52" s="2" t="s">
        <v>960</v>
      </c>
      <c r="C52" s="28">
        <f t="shared" si="1"/>
        <v>0</v>
      </c>
      <c r="D52" s="28">
        <f t="shared" si="2"/>
        <v>0</v>
      </c>
      <c r="E52" s="28">
        <f t="shared" si="3"/>
        <v>0</v>
      </c>
      <c r="F52" s="28">
        <f t="shared" si="4"/>
        <v>0</v>
      </c>
      <c r="G52" s="28">
        <f t="shared" si="5"/>
        <v>0</v>
      </c>
      <c r="I52" s="2" t="s">
        <v>961</v>
      </c>
      <c r="J52" s="2" t="s">
        <v>869</v>
      </c>
      <c r="K52" s="3" t="s">
        <v>826</v>
      </c>
      <c r="L52" s="4">
        <v>1000.0</v>
      </c>
    </row>
    <row r="53" ht="22.5" customHeight="1">
      <c r="A53" s="2" t="s">
        <v>962</v>
      </c>
      <c r="B53" s="2" t="s">
        <v>963</v>
      </c>
      <c r="C53" s="28">
        <f t="shared" si="1"/>
        <v>0</v>
      </c>
      <c r="D53" s="28">
        <f t="shared" si="2"/>
        <v>0</v>
      </c>
      <c r="E53" s="28">
        <f t="shared" si="3"/>
        <v>0</v>
      </c>
      <c r="F53" s="28">
        <f t="shared" si="4"/>
        <v>0</v>
      </c>
      <c r="G53" s="28">
        <f t="shared" si="5"/>
        <v>0</v>
      </c>
      <c r="I53" s="2" t="s">
        <v>964</v>
      </c>
      <c r="J53" s="2" t="s">
        <v>872</v>
      </c>
      <c r="K53" s="3" t="s">
        <v>818</v>
      </c>
      <c r="L53" s="4">
        <v>65000.0</v>
      </c>
    </row>
    <row r="54" ht="22.5" customHeight="1">
      <c r="A54" s="2" t="s">
        <v>965</v>
      </c>
      <c r="B54" s="2" t="s">
        <v>966</v>
      </c>
      <c r="C54" s="28">
        <f t="shared" si="1"/>
        <v>0</v>
      </c>
      <c r="D54" s="28">
        <f t="shared" si="2"/>
        <v>0</v>
      </c>
      <c r="E54" s="28">
        <f t="shared" si="3"/>
        <v>0</v>
      </c>
      <c r="F54" s="28">
        <f t="shared" si="4"/>
        <v>0</v>
      </c>
      <c r="G54" s="28">
        <f t="shared" si="5"/>
        <v>0</v>
      </c>
      <c r="I54" s="2" t="s">
        <v>967</v>
      </c>
      <c r="J54" s="2" t="s">
        <v>875</v>
      </c>
      <c r="K54" s="3" t="s">
        <v>822</v>
      </c>
      <c r="L54" s="4">
        <v>450000.0</v>
      </c>
    </row>
  </sheetData>
  <dataValidations>
    <dataValidation type="list" allowBlank="1" showDropDown="1" showErrorMessage="1" sqref="K5:K54">
      <formula1>"Deposit,Loan,Account"</formula1>
    </dataValidation>
    <dataValidation type="custom" allowBlank="1" showDropDown="1" sqref="C5:G54 L5:L54">
      <formula1>AND(ISNUMBER(C5),(NOT(OR(NOT(ISERROR(DATEVALUE(C5))), AND(ISNUMBER(C5), LEFT(CELL("format", C5))="D")))))</formula1>
    </dataValidation>
  </dataValidations>
  <drawing r:id="rId1"/>
  <tableParts count="2">
    <tablePart r:id="rId4"/>
    <tablePart r:id="rId5"/>
  </tableParts>
</worksheet>
</file>